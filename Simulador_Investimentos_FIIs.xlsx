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 &quot;cotas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4D2B"/>
      <sz val="11"/>
    </font>
    <font>
      <name val="Segoe UI"/>
      <b val="1"/>
      <sz val="10"/>
    </font>
    <font>
      <name val="Segoe UI"/>
      <i val="1"/>
      <color rgb="00E0E0E0"/>
      <sz val="10"/>
    </font>
    <font>
      <name val="Segoe UI"/>
      <i val="1"/>
      <color rgb="00666666"/>
      <sz val="9"/>
    </font>
    <font>
      <name val="Segoe UI"/>
      <b val="1"/>
      <color rgb="00FFFFFF"/>
      <sz val="10"/>
    </font>
    <font>
      <name val="Segoe UI"/>
      <b val="1"/>
      <color rgb="001E4D2B"/>
      <sz val="14"/>
    </font>
    <font>
      <name val="Segoe UI"/>
      <i val="1"/>
      <color rgb="00555555"/>
      <sz val="8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7FAF8"/>
        <bgColor rgb="00F7FAF8"/>
      </patternFill>
    </fill>
  </fills>
  <borders count="4">
    <border>
      <left/>
      <right/>
      <top/>
      <bottom/>
      <diagonal/>
    </border>
    <border>
      <left style="thin">
        <color rgb="004CAF50"/>
      </left>
      <right style="thin">
        <color rgb="004CAF50"/>
      </right>
      <top style="thin">
        <color rgb="004CAF50"/>
      </top>
      <bottom style="thin">
        <color rgb="004CAF5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E4D2B"/>
      </top>
      <bottom style="double">
        <color rgb="001E4D2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0" fillId="0" borderId="2" pivotButton="0" quotePrefix="0" xfId="0"/>
    <xf numFmtId="165" fontId="7" fillId="4" borderId="2" applyAlignment="1" pivotButton="0" quotePrefix="0" xfId="0">
      <alignment horizontal="center" vertical="center"/>
    </xf>
    <xf numFmtId="10" fontId="3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3" fontId="9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3" fontId="9" fillId="5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right" vertical="center"/>
    </xf>
    <xf numFmtId="3" fontId="9" fillId="3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right" vertical="center"/>
    </xf>
    <xf numFmtId="0" fontId="3" fillId="4" borderId="3" applyAlignment="1" pivotButton="0" quotePrefix="0" xfId="0">
      <alignment horizontal="center" vertical="center"/>
    </xf>
    <xf numFmtId="0" fontId="3" fillId="0" borderId="3" pivotButton="0" quotePrefix="0" xfId="0"/>
    <xf numFmtId="164" fontId="3" fillId="0" borderId="3" applyAlignment="1" pivotButton="0" quotePrefix="0" xfId="0">
      <alignment horizontal="right" vertical="center"/>
    </xf>
    <xf numFmtId="3" fontId="3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22" customWidth="1" min="4" max="4"/>
    <col width="24" customWidth="1" min="5" max="5"/>
    <col width="18" customWidth="1" min="6" max="6"/>
    <col width="25" customWidth="1" min="7" max="7"/>
  </cols>
  <sheetData>
    <row r="1">
      <c r="A1" s="1" t="inlineStr">
        <is>
          <t>SIMULADOR DE INVESTIMENTOS EM FUNDOS IMOBILIÁRIOS (FIIs)</t>
        </is>
      </c>
    </row>
    <row r="2"/>
    <row r="4">
      <c r="A4" s="2" t="inlineStr">
        <is>
          <t>PARÂMETROS DA SIMULAÇÃO</t>
        </is>
      </c>
    </row>
    <row r="5">
      <c r="A5" s="3" t="inlineStr">
        <is>
          <t>Aporte Inicial (R$):</t>
        </is>
      </c>
      <c r="B5" s="4" t="n">
        <v>1000</v>
      </c>
      <c r="C5" s="5" t="inlineStr">
        <is>
          <t>Valor inicial a ser investido</t>
        </is>
      </c>
      <c r="E5" s="6" t="inlineStr">
        <is>
          <t>MAGIC NUMBER (Efeito Bola de Neve)</t>
        </is>
      </c>
      <c r="F5" s="7" t="n"/>
      <c r="G5" s="7" t="n"/>
    </row>
    <row r="6">
      <c r="A6" s="3" t="inlineStr">
        <is>
          <t>Aporte Mensal (R$):</t>
        </is>
      </c>
      <c r="B6" s="4" t="n">
        <v>500</v>
      </c>
      <c r="C6" s="5" t="inlineStr">
        <is>
          <t>Aporte recorrente todos os meses</t>
        </is>
      </c>
      <c r="E6" s="8">
        <f>ROUNDUP(B8/(B8*B7), 0)</f>
        <v/>
      </c>
      <c r="F6" s="7" t="n"/>
      <c r="G6" s="7" t="n"/>
    </row>
    <row r="7">
      <c r="A7" s="3" t="inlineStr">
        <is>
          <t>Dividend Yield Mensal (%):</t>
        </is>
      </c>
      <c r="B7" s="9" t="n">
        <v>0.008</v>
      </c>
      <c r="C7" s="5" t="inlineStr">
        <is>
          <t>Rendimento médio mensal esperado</t>
        </is>
      </c>
      <c r="E7" s="10" t="inlineStr">
        <is>
          <t>Cotas para comprar +1 cota/mês só com proventos</t>
        </is>
      </c>
    </row>
    <row r="8">
      <c r="A8" s="3" t="inlineStr">
        <is>
          <t>Preço Médio da Cota (R$):</t>
        </is>
      </c>
      <c r="B8" s="4" t="n">
        <v>10</v>
      </c>
      <c r="C8" s="5" t="inlineStr">
        <is>
          <t>Preço médio por cota do FII</t>
        </is>
      </c>
    </row>
    <row r="9">
      <c r="A9" s="3" t="inlineStr">
        <is>
          <t>Reinvestir Dividendos?:</t>
        </is>
      </c>
      <c r="B9" s="11" t="inlineStr">
        <is>
          <t>SIM</t>
        </is>
      </c>
      <c r="C9" s="5" t="inlineStr">
        <is>
          <t>Opção: SIM ou NÃO</t>
        </is>
      </c>
    </row>
    <row r="11">
      <c r="A11" s="12" t="inlineStr">
        <is>
          <t>Mês</t>
        </is>
      </c>
      <c r="B11" s="12" t="inlineStr">
        <is>
          <t>Aporte do Mês</t>
        </is>
      </c>
      <c r="C11" s="12" t="inlineStr">
        <is>
          <t>Total Aportado Acum.</t>
        </is>
      </c>
      <c r="D11" s="12" t="inlineStr">
        <is>
          <t>Dividendos Recebidos</t>
        </is>
      </c>
      <c r="E11" s="12" t="inlineStr">
        <is>
          <t>Patrimônio Acumulado</t>
        </is>
      </c>
      <c r="F11" s="12" t="inlineStr">
        <is>
          <t>Nº Total de Cotas</t>
        </is>
      </c>
      <c r="G11" s="12" t="inlineStr">
        <is>
          <t>Novas Cotas c/ Dividendos</t>
        </is>
      </c>
    </row>
    <row r="12">
      <c r="A12" s="13" t="n">
        <v>1</v>
      </c>
      <c r="B12" s="14">
        <f>$B$5</f>
        <v/>
      </c>
      <c r="C12" s="14">
        <f>B12</f>
        <v/>
      </c>
      <c r="D12" s="14" t="n">
        <v>0</v>
      </c>
      <c r="E12" s="14">
        <f>B12</f>
        <v/>
      </c>
      <c r="F12" s="13">
        <f>INT(E12/$B$8)</f>
        <v/>
      </c>
      <c r="G12" s="13" t="n">
        <v>0</v>
      </c>
    </row>
    <row r="13">
      <c r="A13" s="15">
        <f>A12+1</f>
        <v/>
      </c>
      <c r="B13" s="16">
        <f>$B$6</f>
        <v/>
      </c>
      <c r="C13" s="16">
        <f>C12+B13</f>
        <v/>
      </c>
      <c r="D13" s="16">
        <f>E12*$B$7</f>
        <v/>
      </c>
      <c r="E13" s="16">
        <f>IF($B$9="SIM", E12+B13+D13, E12+B13)</f>
        <v/>
      </c>
      <c r="F13" s="15">
        <f>INT(E13/$B$8)</f>
        <v/>
      </c>
      <c r="G13" s="15">
        <f>INT(D13/$B$8)</f>
        <v/>
      </c>
    </row>
    <row r="14">
      <c r="A14" s="17">
        <f>A13+1</f>
        <v/>
      </c>
      <c r="B14" s="18">
        <f>$B$6</f>
        <v/>
      </c>
      <c r="C14" s="18">
        <f>C13+B14</f>
        <v/>
      </c>
      <c r="D14" s="18">
        <f>E13*$B$7</f>
        <v/>
      </c>
      <c r="E14" s="18">
        <f>IF($B$9="SIM", E13+B14+D14, E13+B14)</f>
        <v/>
      </c>
      <c r="F14" s="17">
        <f>INT(E14/$B$8)</f>
        <v/>
      </c>
      <c r="G14" s="17">
        <f>INT(D14/$B$8)</f>
        <v/>
      </c>
    </row>
    <row r="15">
      <c r="A15" s="15">
        <f>A14+1</f>
        <v/>
      </c>
      <c r="B15" s="16">
        <f>$B$6</f>
        <v/>
      </c>
      <c r="C15" s="16">
        <f>C14+B15</f>
        <v/>
      </c>
      <c r="D15" s="16">
        <f>E14*$B$7</f>
        <v/>
      </c>
      <c r="E15" s="16">
        <f>IF($B$9="SIM", E14+B15+D15, E14+B15)</f>
        <v/>
      </c>
      <c r="F15" s="15">
        <f>INT(E15/$B$8)</f>
        <v/>
      </c>
      <c r="G15" s="15">
        <f>INT(D15/$B$8)</f>
        <v/>
      </c>
    </row>
    <row r="16">
      <c r="A16" s="17">
        <f>A15+1</f>
        <v/>
      </c>
      <c r="B16" s="18">
        <f>$B$6</f>
        <v/>
      </c>
      <c r="C16" s="18">
        <f>C15+B16</f>
        <v/>
      </c>
      <c r="D16" s="18">
        <f>E15*$B$7</f>
        <v/>
      </c>
      <c r="E16" s="18">
        <f>IF($B$9="SIM", E15+B16+D16, E15+B16)</f>
        <v/>
      </c>
      <c r="F16" s="17">
        <f>INT(E16/$B$8)</f>
        <v/>
      </c>
      <c r="G16" s="17">
        <f>INT(D16/$B$8)</f>
        <v/>
      </c>
    </row>
    <row r="17">
      <c r="A17" s="15">
        <f>A16+1</f>
        <v/>
      </c>
      <c r="B17" s="16">
        <f>$B$6</f>
        <v/>
      </c>
      <c r="C17" s="16">
        <f>C16+B17</f>
        <v/>
      </c>
      <c r="D17" s="16">
        <f>E16*$B$7</f>
        <v/>
      </c>
      <c r="E17" s="16">
        <f>IF($B$9="SIM", E16+B17+D17, E16+B17)</f>
        <v/>
      </c>
      <c r="F17" s="15">
        <f>INT(E17/$B$8)</f>
        <v/>
      </c>
      <c r="G17" s="15">
        <f>INT(D17/$B$8)</f>
        <v/>
      </c>
    </row>
    <row r="18">
      <c r="A18" s="17">
        <f>A17+1</f>
        <v/>
      </c>
      <c r="B18" s="18">
        <f>$B$6</f>
        <v/>
      </c>
      <c r="C18" s="18">
        <f>C17+B18</f>
        <v/>
      </c>
      <c r="D18" s="18">
        <f>E17*$B$7</f>
        <v/>
      </c>
      <c r="E18" s="18">
        <f>IF($B$9="SIM", E17+B18+D18, E17+B18)</f>
        <v/>
      </c>
      <c r="F18" s="17">
        <f>INT(E18/$B$8)</f>
        <v/>
      </c>
      <c r="G18" s="17">
        <f>INT(D18/$B$8)</f>
        <v/>
      </c>
    </row>
    <row r="19">
      <c r="A19" s="15">
        <f>A18+1</f>
        <v/>
      </c>
      <c r="B19" s="16">
        <f>$B$6</f>
        <v/>
      </c>
      <c r="C19" s="16">
        <f>C18+B19</f>
        <v/>
      </c>
      <c r="D19" s="16">
        <f>E18*$B$7</f>
        <v/>
      </c>
      <c r="E19" s="16">
        <f>IF($B$9="SIM", E18+B19+D19, E18+B19)</f>
        <v/>
      </c>
      <c r="F19" s="15">
        <f>INT(E19/$B$8)</f>
        <v/>
      </c>
      <c r="G19" s="15">
        <f>INT(D19/$B$8)</f>
        <v/>
      </c>
    </row>
    <row r="20">
      <c r="A20" s="17">
        <f>A19+1</f>
        <v/>
      </c>
      <c r="B20" s="18">
        <f>$B$6</f>
        <v/>
      </c>
      <c r="C20" s="18">
        <f>C19+B20</f>
        <v/>
      </c>
      <c r="D20" s="18">
        <f>E19*$B$7</f>
        <v/>
      </c>
      <c r="E20" s="18">
        <f>IF($B$9="SIM", E19+B20+D20, E19+B20)</f>
        <v/>
      </c>
      <c r="F20" s="17">
        <f>INT(E20/$B$8)</f>
        <v/>
      </c>
      <c r="G20" s="17">
        <f>INT(D20/$B$8)</f>
        <v/>
      </c>
    </row>
    <row r="21">
      <c r="A21" s="15">
        <f>A20+1</f>
        <v/>
      </c>
      <c r="B21" s="16">
        <f>$B$6</f>
        <v/>
      </c>
      <c r="C21" s="16">
        <f>C20+B21</f>
        <v/>
      </c>
      <c r="D21" s="16">
        <f>E20*$B$7</f>
        <v/>
      </c>
      <c r="E21" s="16">
        <f>IF($B$9="SIM", E20+B21+D21, E20+B21)</f>
        <v/>
      </c>
      <c r="F21" s="15">
        <f>INT(E21/$B$8)</f>
        <v/>
      </c>
      <c r="G21" s="15">
        <f>INT(D21/$B$8)</f>
        <v/>
      </c>
    </row>
    <row r="22">
      <c r="A22" s="17">
        <f>A21+1</f>
        <v/>
      </c>
      <c r="B22" s="18">
        <f>$B$6</f>
        <v/>
      </c>
      <c r="C22" s="18">
        <f>C21+B22</f>
        <v/>
      </c>
      <c r="D22" s="18">
        <f>E21*$B$7</f>
        <v/>
      </c>
      <c r="E22" s="18">
        <f>IF($B$9="SIM", E21+B22+D22, E21+B22)</f>
        <v/>
      </c>
      <c r="F22" s="17">
        <f>INT(E22/$B$8)</f>
        <v/>
      </c>
      <c r="G22" s="17">
        <f>INT(D22/$B$8)</f>
        <v/>
      </c>
    </row>
    <row r="23">
      <c r="A23" s="15">
        <f>A22+1</f>
        <v/>
      </c>
      <c r="B23" s="16">
        <f>$B$6</f>
        <v/>
      </c>
      <c r="C23" s="16">
        <f>C22+B23</f>
        <v/>
      </c>
      <c r="D23" s="16">
        <f>E22*$B$7</f>
        <v/>
      </c>
      <c r="E23" s="16">
        <f>IF($B$9="SIM", E22+B23+D23, E22+B23)</f>
        <v/>
      </c>
      <c r="F23" s="15">
        <f>INT(E23/$B$8)</f>
        <v/>
      </c>
      <c r="G23" s="15">
        <f>INT(D23/$B$8)</f>
        <v/>
      </c>
    </row>
    <row r="24">
      <c r="A24" s="17">
        <f>A23+1</f>
        <v/>
      </c>
      <c r="B24" s="18">
        <f>$B$6</f>
        <v/>
      </c>
      <c r="C24" s="18">
        <f>C23+B24</f>
        <v/>
      </c>
      <c r="D24" s="18">
        <f>E23*$B$7</f>
        <v/>
      </c>
      <c r="E24" s="18">
        <f>IF($B$9="SIM", E23+B24+D24, E23+B24)</f>
        <v/>
      </c>
      <c r="F24" s="17">
        <f>INT(E24/$B$8)</f>
        <v/>
      </c>
      <c r="G24" s="17">
        <f>INT(D24/$B$8)</f>
        <v/>
      </c>
    </row>
    <row r="25">
      <c r="A25" s="15">
        <f>A24+1</f>
        <v/>
      </c>
      <c r="B25" s="16">
        <f>$B$6</f>
        <v/>
      </c>
      <c r="C25" s="16">
        <f>C24+B25</f>
        <v/>
      </c>
      <c r="D25" s="16">
        <f>E24*$B$7</f>
        <v/>
      </c>
      <c r="E25" s="16">
        <f>IF($B$9="SIM", E24+B25+D25, E24+B25)</f>
        <v/>
      </c>
      <c r="F25" s="15">
        <f>INT(E25/$B$8)</f>
        <v/>
      </c>
      <c r="G25" s="15">
        <f>INT(D25/$B$8)</f>
        <v/>
      </c>
    </row>
    <row r="26">
      <c r="A26" s="17">
        <f>A25+1</f>
        <v/>
      </c>
      <c r="B26" s="18">
        <f>$B$6</f>
        <v/>
      </c>
      <c r="C26" s="18">
        <f>C25+B26</f>
        <v/>
      </c>
      <c r="D26" s="18">
        <f>E25*$B$7</f>
        <v/>
      </c>
      <c r="E26" s="18">
        <f>IF($B$9="SIM", E25+B26+D26, E25+B26)</f>
        <v/>
      </c>
      <c r="F26" s="17">
        <f>INT(E26/$B$8)</f>
        <v/>
      </c>
      <c r="G26" s="17">
        <f>INT(D26/$B$8)</f>
        <v/>
      </c>
    </row>
    <row r="27">
      <c r="A27" s="15">
        <f>A26+1</f>
        <v/>
      </c>
      <c r="B27" s="16">
        <f>$B$6</f>
        <v/>
      </c>
      <c r="C27" s="16">
        <f>C26+B27</f>
        <v/>
      </c>
      <c r="D27" s="16">
        <f>E26*$B$7</f>
        <v/>
      </c>
      <c r="E27" s="16">
        <f>IF($B$9="SIM", E26+B27+D27, E26+B27)</f>
        <v/>
      </c>
      <c r="F27" s="15">
        <f>INT(E27/$B$8)</f>
        <v/>
      </c>
      <c r="G27" s="15">
        <f>INT(D27/$B$8)</f>
        <v/>
      </c>
    </row>
    <row r="28">
      <c r="A28" s="17">
        <f>A27+1</f>
        <v/>
      </c>
      <c r="B28" s="18">
        <f>$B$6</f>
        <v/>
      </c>
      <c r="C28" s="18">
        <f>C27+B28</f>
        <v/>
      </c>
      <c r="D28" s="18">
        <f>E27*$B$7</f>
        <v/>
      </c>
      <c r="E28" s="18">
        <f>IF($B$9="SIM", E27+B28+D28, E27+B28)</f>
        <v/>
      </c>
      <c r="F28" s="17">
        <f>INT(E28/$B$8)</f>
        <v/>
      </c>
      <c r="G28" s="17">
        <f>INT(D28/$B$8)</f>
        <v/>
      </c>
    </row>
    <row r="29">
      <c r="A29" s="15">
        <f>A28+1</f>
        <v/>
      </c>
      <c r="B29" s="16">
        <f>$B$6</f>
        <v/>
      </c>
      <c r="C29" s="16">
        <f>C28+B29</f>
        <v/>
      </c>
      <c r="D29" s="16">
        <f>E28*$B$7</f>
        <v/>
      </c>
      <c r="E29" s="16">
        <f>IF($B$9="SIM", E28+B29+D29, E28+B29)</f>
        <v/>
      </c>
      <c r="F29" s="15">
        <f>INT(E29/$B$8)</f>
        <v/>
      </c>
      <c r="G29" s="15">
        <f>INT(D29/$B$8)</f>
        <v/>
      </c>
    </row>
    <row r="30">
      <c r="A30" s="17">
        <f>A29+1</f>
        <v/>
      </c>
      <c r="B30" s="18">
        <f>$B$6</f>
        <v/>
      </c>
      <c r="C30" s="18">
        <f>C29+B30</f>
        <v/>
      </c>
      <c r="D30" s="18">
        <f>E29*$B$7</f>
        <v/>
      </c>
      <c r="E30" s="18">
        <f>IF($B$9="SIM", E29+B30+D30, E29+B30)</f>
        <v/>
      </c>
      <c r="F30" s="17">
        <f>INT(E30/$B$8)</f>
        <v/>
      </c>
      <c r="G30" s="17">
        <f>INT(D30/$B$8)</f>
        <v/>
      </c>
    </row>
    <row r="31">
      <c r="A31" s="15">
        <f>A30+1</f>
        <v/>
      </c>
      <c r="B31" s="16">
        <f>$B$6</f>
        <v/>
      </c>
      <c r="C31" s="16">
        <f>C30+B31</f>
        <v/>
      </c>
      <c r="D31" s="16">
        <f>E30*$B$7</f>
        <v/>
      </c>
      <c r="E31" s="16">
        <f>IF($B$9="SIM", E30+B31+D31, E30+B31)</f>
        <v/>
      </c>
      <c r="F31" s="15">
        <f>INT(E31/$B$8)</f>
        <v/>
      </c>
      <c r="G31" s="15">
        <f>INT(D31/$B$8)</f>
        <v/>
      </c>
    </row>
    <row r="32">
      <c r="A32" s="17">
        <f>A31+1</f>
        <v/>
      </c>
      <c r="B32" s="18">
        <f>$B$6</f>
        <v/>
      </c>
      <c r="C32" s="18">
        <f>C31+B32</f>
        <v/>
      </c>
      <c r="D32" s="18">
        <f>E31*$B$7</f>
        <v/>
      </c>
      <c r="E32" s="18">
        <f>IF($B$9="SIM", E31+B32+D32, E31+B32)</f>
        <v/>
      </c>
      <c r="F32" s="17">
        <f>INT(E32/$B$8)</f>
        <v/>
      </c>
      <c r="G32" s="17">
        <f>INT(D32/$B$8)</f>
        <v/>
      </c>
    </row>
    <row r="33">
      <c r="A33" s="15">
        <f>A32+1</f>
        <v/>
      </c>
      <c r="B33" s="16">
        <f>$B$6</f>
        <v/>
      </c>
      <c r="C33" s="16">
        <f>C32+B33</f>
        <v/>
      </c>
      <c r="D33" s="16">
        <f>E32*$B$7</f>
        <v/>
      </c>
      <c r="E33" s="16">
        <f>IF($B$9="SIM", E32+B33+D33, E32+B33)</f>
        <v/>
      </c>
      <c r="F33" s="15">
        <f>INT(E33/$B$8)</f>
        <v/>
      </c>
      <c r="G33" s="15">
        <f>INT(D33/$B$8)</f>
        <v/>
      </c>
    </row>
    <row r="34">
      <c r="A34" s="17">
        <f>A33+1</f>
        <v/>
      </c>
      <c r="B34" s="18">
        <f>$B$6</f>
        <v/>
      </c>
      <c r="C34" s="18">
        <f>C33+B34</f>
        <v/>
      </c>
      <c r="D34" s="18">
        <f>E33*$B$7</f>
        <v/>
      </c>
      <c r="E34" s="18">
        <f>IF($B$9="SIM", E33+B34+D34, E33+B34)</f>
        <v/>
      </c>
      <c r="F34" s="17">
        <f>INT(E34/$B$8)</f>
        <v/>
      </c>
      <c r="G34" s="17">
        <f>INT(D34/$B$8)</f>
        <v/>
      </c>
    </row>
    <row r="35">
      <c r="A35" s="15">
        <f>A34+1</f>
        <v/>
      </c>
      <c r="B35" s="16">
        <f>$B$6</f>
        <v/>
      </c>
      <c r="C35" s="16">
        <f>C34+B35</f>
        <v/>
      </c>
      <c r="D35" s="16">
        <f>E34*$B$7</f>
        <v/>
      </c>
      <c r="E35" s="16">
        <f>IF($B$9="SIM", E34+B35+D35, E34+B35)</f>
        <v/>
      </c>
      <c r="F35" s="15">
        <f>INT(E35/$B$8)</f>
        <v/>
      </c>
      <c r="G35" s="15">
        <f>INT(D35/$B$8)</f>
        <v/>
      </c>
    </row>
    <row r="36">
      <c r="A36" s="17">
        <f>A35+1</f>
        <v/>
      </c>
      <c r="B36" s="18">
        <f>$B$6</f>
        <v/>
      </c>
      <c r="C36" s="18">
        <f>C35+B36</f>
        <v/>
      </c>
      <c r="D36" s="18">
        <f>E35*$B$7</f>
        <v/>
      </c>
      <c r="E36" s="18">
        <f>IF($B$9="SIM", E35+B36+D36, E35+B36)</f>
        <v/>
      </c>
      <c r="F36" s="17">
        <f>INT(E36/$B$8)</f>
        <v/>
      </c>
      <c r="G36" s="17">
        <f>INT(D36/$B$8)</f>
        <v/>
      </c>
    </row>
    <row r="37">
      <c r="A37" s="15">
        <f>A36+1</f>
        <v/>
      </c>
      <c r="B37" s="16">
        <f>$B$6</f>
        <v/>
      </c>
      <c r="C37" s="16">
        <f>C36+B37</f>
        <v/>
      </c>
      <c r="D37" s="16">
        <f>E36*$B$7</f>
        <v/>
      </c>
      <c r="E37" s="16">
        <f>IF($B$9="SIM", E36+B37+D37, E36+B37)</f>
        <v/>
      </c>
      <c r="F37" s="15">
        <f>INT(E37/$B$8)</f>
        <v/>
      </c>
      <c r="G37" s="15">
        <f>INT(D37/$B$8)</f>
        <v/>
      </c>
    </row>
    <row r="38">
      <c r="A38" s="17">
        <f>A37+1</f>
        <v/>
      </c>
      <c r="B38" s="18">
        <f>$B$6</f>
        <v/>
      </c>
      <c r="C38" s="18">
        <f>C37+B38</f>
        <v/>
      </c>
      <c r="D38" s="18">
        <f>E37*$B$7</f>
        <v/>
      </c>
      <c r="E38" s="18">
        <f>IF($B$9="SIM", E37+B38+D38, E37+B38)</f>
        <v/>
      </c>
      <c r="F38" s="17">
        <f>INT(E38/$B$8)</f>
        <v/>
      </c>
      <c r="G38" s="17">
        <f>INT(D38/$B$8)</f>
        <v/>
      </c>
    </row>
    <row r="39">
      <c r="A39" s="15">
        <f>A38+1</f>
        <v/>
      </c>
      <c r="B39" s="16">
        <f>$B$6</f>
        <v/>
      </c>
      <c r="C39" s="16">
        <f>C38+B39</f>
        <v/>
      </c>
      <c r="D39" s="16">
        <f>E38*$B$7</f>
        <v/>
      </c>
      <c r="E39" s="16">
        <f>IF($B$9="SIM", E38+B39+D39, E38+B39)</f>
        <v/>
      </c>
      <c r="F39" s="15">
        <f>INT(E39/$B$8)</f>
        <v/>
      </c>
      <c r="G39" s="15">
        <f>INT(D39/$B$8)</f>
        <v/>
      </c>
    </row>
    <row r="40">
      <c r="A40" s="17">
        <f>A39+1</f>
        <v/>
      </c>
      <c r="B40" s="18">
        <f>$B$6</f>
        <v/>
      </c>
      <c r="C40" s="18">
        <f>C39+B40</f>
        <v/>
      </c>
      <c r="D40" s="18">
        <f>E39*$B$7</f>
        <v/>
      </c>
      <c r="E40" s="18">
        <f>IF($B$9="SIM", E39+B40+D40, E39+B40)</f>
        <v/>
      </c>
      <c r="F40" s="17">
        <f>INT(E40/$B$8)</f>
        <v/>
      </c>
      <c r="G40" s="17">
        <f>INT(D40/$B$8)</f>
        <v/>
      </c>
    </row>
    <row r="41">
      <c r="A41" s="15">
        <f>A40+1</f>
        <v/>
      </c>
      <c r="B41" s="16">
        <f>$B$6</f>
        <v/>
      </c>
      <c r="C41" s="16">
        <f>C40+B41</f>
        <v/>
      </c>
      <c r="D41" s="16">
        <f>E40*$B$7</f>
        <v/>
      </c>
      <c r="E41" s="16">
        <f>IF($B$9="SIM", E40+B41+D41, E40+B41)</f>
        <v/>
      </c>
      <c r="F41" s="15">
        <f>INT(E41/$B$8)</f>
        <v/>
      </c>
      <c r="G41" s="15">
        <f>INT(D41/$B$8)</f>
        <v/>
      </c>
    </row>
    <row r="42">
      <c r="A42" s="17">
        <f>A41+1</f>
        <v/>
      </c>
      <c r="B42" s="18">
        <f>$B$6</f>
        <v/>
      </c>
      <c r="C42" s="18">
        <f>C41+B42</f>
        <v/>
      </c>
      <c r="D42" s="18">
        <f>E41*$B$7</f>
        <v/>
      </c>
      <c r="E42" s="18">
        <f>IF($B$9="SIM", E41+B42+D42, E41+B42)</f>
        <v/>
      </c>
      <c r="F42" s="17">
        <f>INT(E42/$B$8)</f>
        <v/>
      </c>
      <c r="G42" s="17">
        <f>INT(D42/$B$8)</f>
        <v/>
      </c>
    </row>
    <row r="43">
      <c r="A43" s="15">
        <f>A42+1</f>
        <v/>
      </c>
      <c r="B43" s="16">
        <f>$B$6</f>
        <v/>
      </c>
      <c r="C43" s="16">
        <f>C42+B43</f>
        <v/>
      </c>
      <c r="D43" s="16">
        <f>E42*$B$7</f>
        <v/>
      </c>
      <c r="E43" s="16">
        <f>IF($B$9="SIM", E42+B43+D43, E42+B43)</f>
        <v/>
      </c>
      <c r="F43" s="15">
        <f>INT(E43/$B$8)</f>
        <v/>
      </c>
      <c r="G43" s="15">
        <f>INT(D43/$B$8)</f>
        <v/>
      </c>
    </row>
    <row r="44">
      <c r="A44" s="17">
        <f>A43+1</f>
        <v/>
      </c>
      <c r="B44" s="18">
        <f>$B$6</f>
        <v/>
      </c>
      <c r="C44" s="18">
        <f>C43+B44</f>
        <v/>
      </c>
      <c r="D44" s="18">
        <f>E43*$B$7</f>
        <v/>
      </c>
      <c r="E44" s="18">
        <f>IF($B$9="SIM", E43+B44+D44, E43+B44)</f>
        <v/>
      </c>
      <c r="F44" s="17">
        <f>INT(E44/$B$8)</f>
        <v/>
      </c>
      <c r="G44" s="17">
        <f>INT(D44/$B$8)</f>
        <v/>
      </c>
    </row>
    <row r="45">
      <c r="A45" s="15">
        <f>A44+1</f>
        <v/>
      </c>
      <c r="B45" s="16">
        <f>$B$6</f>
        <v/>
      </c>
      <c r="C45" s="16">
        <f>C44+B45</f>
        <v/>
      </c>
      <c r="D45" s="16">
        <f>E44*$B$7</f>
        <v/>
      </c>
      <c r="E45" s="16">
        <f>IF($B$9="SIM", E44+B45+D45, E44+B45)</f>
        <v/>
      </c>
      <c r="F45" s="15">
        <f>INT(E45/$B$8)</f>
        <v/>
      </c>
      <c r="G45" s="15">
        <f>INT(D45/$B$8)</f>
        <v/>
      </c>
    </row>
    <row r="46">
      <c r="A46" s="17">
        <f>A45+1</f>
        <v/>
      </c>
      <c r="B46" s="18">
        <f>$B$6</f>
        <v/>
      </c>
      <c r="C46" s="18">
        <f>C45+B46</f>
        <v/>
      </c>
      <c r="D46" s="18">
        <f>E45*$B$7</f>
        <v/>
      </c>
      <c r="E46" s="18">
        <f>IF($B$9="SIM", E45+B46+D46, E45+B46)</f>
        <v/>
      </c>
      <c r="F46" s="17">
        <f>INT(E46/$B$8)</f>
        <v/>
      </c>
      <c r="G46" s="17">
        <f>INT(D46/$B$8)</f>
        <v/>
      </c>
    </row>
    <row r="47">
      <c r="A47" s="15">
        <f>A46+1</f>
        <v/>
      </c>
      <c r="B47" s="16">
        <f>$B$6</f>
        <v/>
      </c>
      <c r="C47" s="16">
        <f>C46+B47</f>
        <v/>
      </c>
      <c r="D47" s="16">
        <f>E46*$B$7</f>
        <v/>
      </c>
      <c r="E47" s="16">
        <f>IF($B$9="SIM", E46+B47+D47, E46+B47)</f>
        <v/>
      </c>
      <c r="F47" s="15">
        <f>INT(E47/$B$8)</f>
        <v/>
      </c>
      <c r="G47" s="15">
        <f>INT(D47/$B$8)</f>
        <v/>
      </c>
    </row>
    <row r="48">
      <c r="A48" s="17">
        <f>A47+1</f>
        <v/>
      </c>
      <c r="B48" s="18">
        <f>$B$6</f>
        <v/>
      </c>
      <c r="C48" s="18">
        <f>C47+B48</f>
        <v/>
      </c>
      <c r="D48" s="18">
        <f>E47*$B$7</f>
        <v/>
      </c>
      <c r="E48" s="18">
        <f>IF($B$9="SIM", E47+B48+D48, E47+B48)</f>
        <v/>
      </c>
      <c r="F48" s="17">
        <f>INT(E48/$B$8)</f>
        <v/>
      </c>
      <c r="G48" s="17">
        <f>INT(D48/$B$8)</f>
        <v/>
      </c>
    </row>
    <row r="49">
      <c r="A49" s="15">
        <f>A48+1</f>
        <v/>
      </c>
      <c r="B49" s="16">
        <f>$B$6</f>
        <v/>
      </c>
      <c r="C49" s="16">
        <f>C48+B49</f>
        <v/>
      </c>
      <c r="D49" s="16">
        <f>E48*$B$7</f>
        <v/>
      </c>
      <c r="E49" s="16">
        <f>IF($B$9="SIM", E48+B49+D49, E48+B49)</f>
        <v/>
      </c>
      <c r="F49" s="15">
        <f>INT(E49/$B$8)</f>
        <v/>
      </c>
      <c r="G49" s="15">
        <f>INT(D49/$B$8)</f>
        <v/>
      </c>
    </row>
    <row r="50">
      <c r="A50" s="17">
        <f>A49+1</f>
        <v/>
      </c>
      <c r="B50" s="18">
        <f>$B$6</f>
        <v/>
      </c>
      <c r="C50" s="18">
        <f>C49+B50</f>
        <v/>
      </c>
      <c r="D50" s="18">
        <f>E49*$B$7</f>
        <v/>
      </c>
      <c r="E50" s="18">
        <f>IF($B$9="SIM", E49+B50+D50, E49+B50)</f>
        <v/>
      </c>
      <c r="F50" s="17">
        <f>INT(E50/$B$8)</f>
        <v/>
      </c>
      <c r="G50" s="17">
        <f>INT(D50/$B$8)</f>
        <v/>
      </c>
    </row>
    <row r="51">
      <c r="A51" s="15">
        <f>A50+1</f>
        <v/>
      </c>
      <c r="B51" s="16">
        <f>$B$6</f>
        <v/>
      </c>
      <c r="C51" s="16">
        <f>C50+B51</f>
        <v/>
      </c>
      <c r="D51" s="16">
        <f>E50*$B$7</f>
        <v/>
      </c>
      <c r="E51" s="16">
        <f>IF($B$9="SIM", E50+B51+D51, E50+B51)</f>
        <v/>
      </c>
      <c r="F51" s="15">
        <f>INT(E51/$B$8)</f>
        <v/>
      </c>
      <c r="G51" s="15">
        <f>INT(D51/$B$8)</f>
        <v/>
      </c>
    </row>
    <row r="52">
      <c r="A52" s="17">
        <f>A51+1</f>
        <v/>
      </c>
      <c r="B52" s="18">
        <f>$B$6</f>
        <v/>
      </c>
      <c r="C52" s="18">
        <f>C51+B52</f>
        <v/>
      </c>
      <c r="D52" s="18">
        <f>E51*$B$7</f>
        <v/>
      </c>
      <c r="E52" s="18">
        <f>IF($B$9="SIM", E51+B52+D52, E51+B52)</f>
        <v/>
      </c>
      <c r="F52" s="17">
        <f>INT(E52/$B$8)</f>
        <v/>
      </c>
      <c r="G52" s="17">
        <f>INT(D52/$B$8)</f>
        <v/>
      </c>
    </row>
    <row r="53">
      <c r="A53" s="15">
        <f>A52+1</f>
        <v/>
      </c>
      <c r="B53" s="16">
        <f>$B$6</f>
        <v/>
      </c>
      <c r="C53" s="16">
        <f>C52+B53</f>
        <v/>
      </c>
      <c r="D53" s="16">
        <f>E52*$B$7</f>
        <v/>
      </c>
      <c r="E53" s="16">
        <f>IF($B$9="SIM", E52+B53+D53, E52+B53)</f>
        <v/>
      </c>
      <c r="F53" s="15">
        <f>INT(E53/$B$8)</f>
        <v/>
      </c>
      <c r="G53" s="15">
        <f>INT(D53/$B$8)</f>
        <v/>
      </c>
    </row>
    <row r="54">
      <c r="A54" s="17">
        <f>A53+1</f>
        <v/>
      </c>
      <c r="B54" s="18">
        <f>$B$6</f>
        <v/>
      </c>
      <c r="C54" s="18">
        <f>C53+B54</f>
        <v/>
      </c>
      <c r="D54" s="18">
        <f>E53*$B$7</f>
        <v/>
      </c>
      <c r="E54" s="18">
        <f>IF($B$9="SIM", E53+B54+D54, E53+B54)</f>
        <v/>
      </c>
      <c r="F54" s="17">
        <f>INT(E54/$B$8)</f>
        <v/>
      </c>
      <c r="G54" s="17">
        <f>INT(D54/$B$8)</f>
        <v/>
      </c>
    </row>
    <row r="55">
      <c r="A55" s="15">
        <f>A54+1</f>
        <v/>
      </c>
      <c r="B55" s="16">
        <f>$B$6</f>
        <v/>
      </c>
      <c r="C55" s="16">
        <f>C54+B55</f>
        <v/>
      </c>
      <c r="D55" s="16">
        <f>E54*$B$7</f>
        <v/>
      </c>
      <c r="E55" s="16">
        <f>IF($B$9="SIM", E54+B55+D55, E54+B55)</f>
        <v/>
      </c>
      <c r="F55" s="15">
        <f>INT(E55/$B$8)</f>
        <v/>
      </c>
      <c r="G55" s="15">
        <f>INT(D55/$B$8)</f>
        <v/>
      </c>
    </row>
    <row r="56">
      <c r="A56" s="17">
        <f>A55+1</f>
        <v/>
      </c>
      <c r="B56" s="18">
        <f>$B$6</f>
        <v/>
      </c>
      <c r="C56" s="18">
        <f>C55+B56</f>
        <v/>
      </c>
      <c r="D56" s="18">
        <f>E55*$B$7</f>
        <v/>
      </c>
      <c r="E56" s="18">
        <f>IF($B$9="SIM", E55+B56+D56, E55+B56)</f>
        <v/>
      </c>
      <c r="F56" s="17">
        <f>INT(E56/$B$8)</f>
        <v/>
      </c>
      <c r="G56" s="17">
        <f>INT(D56/$B$8)</f>
        <v/>
      </c>
    </row>
    <row r="57">
      <c r="A57" s="15">
        <f>A56+1</f>
        <v/>
      </c>
      <c r="B57" s="16">
        <f>$B$6</f>
        <v/>
      </c>
      <c r="C57" s="16">
        <f>C56+B57</f>
        <v/>
      </c>
      <c r="D57" s="16">
        <f>E56*$B$7</f>
        <v/>
      </c>
      <c r="E57" s="16">
        <f>IF($B$9="SIM", E56+B57+D57, E56+B57)</f>
        <v/>
      </c>
      <c r="F57" s="15">
        <f>INT(E57/$B$8)</f>
        <v/>
      </c>
      <c r="G57" s="15">
        <f>INT(D57/$B$8)</f>
        <v/>
      </c>
    </row>
    <row r="58">
      <c r="A58" s="17">
        <f>A57+1</f>
        <v/>
      </c>
      <c r="B58" s="18">
        <f>$B$6</f>
        <v/>
      </c>
      <c r="C58" s="18">
        <f>C57+B58</f>
        <v/>
      </c>
      <c r="D58" s="18">
        <f>E57*$B$7</f>
        <v/>
      </c>
      <c r="E58" s="18">
        <f>IF($B$9="SIM", E57+B58+D58, E57+B58)</f>
        <v/>
      </c>
      <c r="F58" s="17">
        <f>INT(E58/$B$8)</f>
        <v/>
      </c>
      <c r="G58" s="17">
        <f>INT(D58/$B$8)</f>
        <v/>
      </c>
    </row>
    <row r="59">
      <c r="A59" s="15">
        <f>A58+1</f>
        <v/>
      </c>
      <c r="B59" s="16">
        <f>$B$6</f>
        <v/>
      </c>
      <c r="C59" s="16">
        <f>C58+B59</f>
        <v/>
      </c>
      <c r="D59" s="16">
        <f>E58*$B$7</f>
        <v/>
      </c>
      <c r="E59" s="16">
        <f>IF($B$9="SIM", E58+B59+D59, E58+B59)</f>
        <v/>
      </c>
      <c r="F59" s="15">
        <f>INT(E59/$B$8)</f>
        <v/>
      </c>
      <c r="G59" s="15">
        <f>INT(D59/$B$8)</f>
        <v/>
      </c>
    </row>
    <row r="60">
      <c r="A60" s="17">
        <f>A59+1</f>
        <v/>
      </c>
      <c r="B60" s="18">
        <f>$B$6</f>
        <v/>
      </c>
      <c r="C60" s="18">
        <f>C59+B60</f>
        <v/>
      </c>
      <c r="D60" s="18">
        <f>E59*$B$7</f>
        <v/>
      </c>
      <c r="E60" s="18">
        <f>IF($B$9="SIM", E59+B60+D60, E59+B60)</f>
        <v/>
      </c>
      <c r="F60" s="17">
        <f>INT(E60/$B$8)</f>
        <v/>
      </c>
      <c r="G60" s="17">
        <f>INT(D60/$B$8)</f>
        <v/>
      </c>
    </row>
    <row r="61">
      <c r="A61" s="15">
        <f>A60+1</f>
        <v/>
      </c>
      <c r="B61" s="16">
        <f>$B$6</f>
        <v/>
      </c>
      <c r="C61" s="16">
        <f>C60+B61</f>
        <v/>
      </c>
      <c r="D61" s="16">
        <f>E60*$B$7</f>
        <v/>
      </c>
      <c r="E61" s="16">
        <f>IF($B$9="SIM", E60+B61+D61, E60+B61)</f>
        <v/>
      </c>
      <c r="F61" s="15">
        <f>INT(E61/$B$8)</f>
        <v/>
      </c>
      <c r="G61" s="15">
        <f>INT(D61/$B$8)</f>
        <v/>
      </c>
    </row>
    <row r="62">
      <c r="A62" s="17">
        <f>A61+1</f>
        <v/>
      </c>
      <c r="B62" s="18">
        <f>$B$6</f>
        <v/>
      </c>
      <c r="C62" s="18">
        <f>C61+B62</f>
        <v/>
      </c>
      <c r="D62" s="18">
        <f>E61*$B$7</f>
        <v/>
      </c>
      <c r="E62" s="18">
        <f>IF($B$9="SIM", E61+B62+D62, E61+B62)</f>
        <v/>
      </c>
      <c r="F62" s="17">
        <f>INT(E62/$B$8)</f>
        <v/>
      </c>
      <c r="G62" s="17">
        <f>INT(D62/$B$8)</f>
        <v/>
      </c>
    </row>
    <row r="63">
      <c r="A63" s="15">
        <f>A62+1</f>
        <v/>
      </c>
      <c r="B63" s="16">
        <f>$B$6</f>
        <v/>
      </c>
      <c r="C63" s="16">
        <f>C62+B63</f>
        <v/>
      </c>
      <c r="D63" s="16">
        <f>E62*$B$7</f>
        <v/>
      </c>
      <c r="E63" s="16">
        <f>IF($B$9="SIM", E62+B63+D63, E62+B63)</f>
        <v/>
      </c>
      <c r="F63" s="15">
        <f>INT(E63/$B$8)</f>
        <v/>
      </c>
      <c r="G63" s="15">
        <f>INT(D63/$B$8)</f>
        <v/>
      </c>
    </row>
    <row r="64">
      <c r="A64" s="17">
        <f>A63+1</f>
        <v/>
      </c>
      <c r="B64" s="18">
        <f>$B$6</f>
        <v/>
      </c>
      <c r="C64" s="18">
        <f>C63+B64</f>
        <v/>
      </c>
      <c r="D64" s="18">
        <f>E63*$B$7</f>
        <v/>
      </c>
      <c r="E64" s="18">
        <f>IF($B$9="SIM", E63+B64+D64, E63+B64)</f>
        <v/>
      </c>
      <c r="F64" s="17">
        <f>INT(E64/$B$8)</f>
        <v/>
      </c>
      <c r="G64" s="17">
        <f>INT(D64/$B$8)</f>
        <v/>
      </c>
    </row>
    <row r="65">
      <c r="A65" s="15">
        <f>A64+1</f>
        <v/>
      </c>
      <c r="B65" s="16">
        <f>$B$6</f>
        <v/>
      </c>
      <c r="C65" s="16">
        <f>C64+B65</f>
        <v/>
      </c>
      <c r="D65" s="16">
        <f>E64*$B$7</f>
        <v/>
      </c>
      <c r="E65" s="16">
        <f>IF($B$9="SIM", E64+B65+D65, E64+B65)</f>
        <v/>
      </c>
      <c r="F65" s="15">
        <f>INT(E65/$B$8)</f>
        <v/>
      </c>
      <c r="G65" s="15">
        <f>INT(D65/$B$8)</f>
        <v/>
      </c>
    </row>
    <row r="66">
      <c r="A66" s="17">
        <f>A65+1</f>
        <v/>
      </c>
      <c r="B66" s="18">
        <f>$B$6</f>
        <v/>
      </c>
      <c r="C66" s="18">
        <f>C65+B66</f>
        <v/>
      </c>
      <c r="D66" s="18">
        <f>E65*$B$7</f>
        <v/>
      </c>
      <c r="E66" s="18">
        <f>IF($B$9="SIM", E65+B66+D66, E65+B66)</f>
        <v/>
      </c>
      <c r="F66" s="17">
        <f>INT(E66/$B$8)</f>
        <v/>
      </c>
      <c r="G66" s="17">
        <f>INT(D66/$B$8)</f>
        <v/>
      </c>
    </row>
    <row r="67">
      <c r="A67" s="15">
        <f>A66+1</f>
        <v/>
      </c>
      <c r="B67" s="16">
        <f>$B$6</f>
        <v/>
      </c>
      <c r="C67" s="16">
        <f>C66+B67</f>
        <v/>
      </c>
      <c r="D67" s="16">
        <f>E66*$B$7</f>
        <v/>
      </c>
      <c r="E67" s="16">
        <f>IF($B$9="SIM", E66+B67+D67, E66+B67)</f>
        <v/>
      </c>
      <c r="F67" s="15">
        <f>INT(E67/$B$8)</f>
        <v/>
      </c>
      <c r="G67" s="15">
        <f>INT(D67/$B$8)</f>
        <v/>
      </c>
    </row>
    <row r="68">
      <c r="A68" s="17">
        <f>A67+1</f>
        <v/>
      </c>
      <c r="B68" s="18">
        <f>$B$6</f>
        <v/>
      </c>
      <c r="C68" s="18">
        <f>C67+B68</f>
        <v/>
      </c>
      <c r="D68" s="18">
        <f>E67*$B$7</f>
        <v/>
      </c>
      <c r="E68" s="18">
        <f>IF($B$9="SIM", E67+B68+D68, E67+B68)</f>
        <v/>
      </c>
      <c r="F68" s="17">
        <f>INT(E68/$B$8)</f>
        <v/>
      </c>
      <c r="G68" s="17">
        <f>INT(D68/$B$8)</f>
        <v/>
      </c>
    </row>
    <row r="69">
      <c r="A69" s="15">
        <f>A68+1</f>
        <v/>
      </c>
      <c r="B69" s="16">
        <f>$B$6</f>
        <v/>
      </c>
      <c r="C69" s="16">
        <f>C68+B69</f>
        <v/>
      </c>
      <c r="D69" s="16">
        <f>E68*$B$7</f>
        <v/>
      </c>
      <c r="E69" s="16">
        <f>IF($B$9="SIM", E68+B69+D69, E68+B69)</f>
        <v/>
      </c>
      <c r="F69" s="15">
        <f>INT(E69/$B$8)</f>
        <v/>
      </c>
      <c r="G69" s="15">
        <f>INT(D69/$B$8)</f>
        <v/>
      </c>
    </row>
    <row r="70">
      <c r="A70" s="17">
        <f>A69+1</f>
        <v/>
      </c>
      <c r="B70" s="18">
        <f>$B$6</f>
        <v/>
      </c>
      <c r="C70" s="18">
        <f>C69+B70</f>
        <v/>
      </c>
      <c r="D70" s="18">
        <f>E69*$B$7</f>
        <v/>
      </c>
      <c r="E70" s="18">
        <f>IF($B$9="SIM", E69+B70+D70, E69+B70)</f>
        <v/>
      </c>
      <c r="F70" s="17">
        <f>INT(E70/$B$8)</f>
        <v/>
      </c>
      <c r="G70" s="17">
        <f>INT(D70/$B$8)</f>
        <v/>
      </c>
    </row>
    <row r="71">
      <c r="A71" s="15">
        <f>A70+1</f>
        <v/>
      </c>
      <c r="B71" s="16">
        <f>$B$6</f>
        <v/>
      </c>
      <c r="C71" s="16">
        <f>C70+B71</f>
        <v/>
      </c>
      <c r="D71" s="16">
        <f>E70*$B$7</f>
        <v/>
      </c>
      <c r="E71" s="16">
        <f>IF($B$9="SIM", E70+B71+D71, E70+B71)</f>
        <v/>
      </c>
      <c r="F71" s="15">
        <f>INT(E71/$B$8)</f>
        <v/>
      </c>
      <c r="G71" s="15">
        <f>INT(D71/$B$8)</f>
        <v/>
      </c>
    </row>
    <row r="73">
      <c r="A73" s="19" t="inlineStr">
        <is>
          <t>RESULTADO FINAL (MÊS 60)</t>
        </is>
      </c>
      <c r="B73" s="20" t="n"/>
      <c r="C73" s="21">
        <f>C71</f>
        <v/>
      </c>
      <c r="D73" s="21">
        <f>SUM(D12:D71)</f>
        <v/>
      </c>
      <c r="E73" s="21">
        <f>E71</f>
        <v/>
      </c>
      <c r="F73" s="22">
        <f>F71</f>
        <v/>
      </c>
      <c r="G73" s="22">
        <f>SUM(G12:G71)</f>
        <v/>
      </c>
    </row>
  </sheetData>
  <mergeCells count="5">
    <mergeCell ref="A1:G2"/>
    <mergeCell ref="A73:B73"/>
    <mergeCell ref="E5:G5"/>
    <mergeCell ref="E7:G7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2026-09-18T13:18:12Z</dcterms:created>
  <dcterms:modified xmlns:dcterms="http://purl.org/dc/terms/" xmlns:xsi="http://www.w3.org/2001/XMLSchema-instance" xsi:type="dcterms:W3CDTF">2026-09-18T13:18:13Z</dcterms:modified>
</cp:coreProperties>
</file>