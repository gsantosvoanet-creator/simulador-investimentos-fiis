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 Vendas" sheetId="1" state="visible" r:id="rId1"/>
    <sheet xmlns:r="http://schemas.openxmlformats.org/officeDocument/2006/relationships" name="Base_Venda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R$ #,##0.00"/>
    <numFmt numFmtId="165" formatCode="0.0%"/>
    <numFmt numFmtId="166" formatCode="yyyy-mm-dd"/>
  </numFmts>
  <fonts count="8">
    <font>
      <name val="Calibri"/>
      <family val="2"/>
      <color theme="1"/>
      <sz val="11"/>
      <scheme val="minor"/>
    </font>
    <font>
      <name val="Segoe UI"/>
      <b val="1"/>
      <color rgb="00FFFFFF"/>
      <sz val="16"/>
    </font>
    <font>
      <name val="Segoe UI"/>
      <b val="1"/>
      <color rgb="0064748B"/>
      <sz val="9"/>
    </font>
    <font>
      <name val="Segoe UI"/>
      <b val="1"/>
      <color rgb="001E293B"/>
      <sz val="15"/>
    </font>
    <font>
      <name val="Segoe UI"/>
      <b val="1"/>
      <color rgb="001E293B"/>
      <sz val="11"/>
    </font>
    <font>
      <name val="Segoe UI"/>
      <b val="1"/>
      <color rgb="00FFFFFF"/>
      <sz val="10"/>
    </font>
    <font>
      <name val="Segoe UI"/>
      <b val="1"/>
      <sz val="10"/>
    </font>
    <font>
      <name val="Segoe UI"/>
      <sz val="10"/>
    </font>
  </fonts>
  <fills count="7">
    <fill>
      <patternFill/>
    </fill>
    <fill>
      <patternFill patternType="gray125"/>
    </fill>
    <fill>
      <patternFill patternType="solid">
        <fgColor rgb="001E293B"/>
        <bgColor rgb="001E293B"/>
      </patternFill>
    </fill>
    <fill>
      <patternFill patternType="solid">
        <fgColor rgb="00F1F5F9"/>
        <bgColor rgb="00F1F5F9"/>
      </patternFill>
    </fill>
    <fill>
      <patternFill patternType="solid">
        <fgColor rgb="00334155"/>
        <bgColor rgb="00334155"/>
      </patternFill>
    </fill>
    <fill>
      <patternFill patternType="solid">
        <fgColor rgb="00F8FAFC"/>
        <bgColor rgb="00F8FAFC"/>
      </patternFill>
    </fill>
    <fill>
      <patternFill patternType="solid">
        <fgColor rgb="00E2E8F0"/>
        <bgColor rgb="00E2E8F0"/>
      </patternFill>
    </fill>
  </fills>
  <borders count="3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  <border>
      <left style="thin">
        <color rgb="00E2E8F0"/>
      </left>
      <right style="thin">
        <color rgb="00E2E8F0"/>
      </right>
      <top style="thin">
        <color rgb="00334155"/>
      </top>
      <bottom style="double">
        <color rgb="00334155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0" fillId="0" borderId="1" pivotButton="0" quotePrefix="0" xfId="0"/>
    <xf numFmtId="164" fontId="3" fillId="3" borderId="1" applyAlignment="1" pivotButton="0" quotePrefix="0" xfId="0">
      <alignment horizontal="center" vertical="center"/>
    </xf>
    <xf numFmtId="3" fontId="3" fillId="3" borderId="1" applyAlignment="1" pivotButton="0" quotePrefix="0" xfId="0">
      <alignment horizontal="center" vertical="center"/>
    </xf>
    <xf numFmtId="165" fontId="3" fillId="3" borderId="1" applyAlignment="1" pivotButton="0" quotePrefix="0" xfId="0">
      <alignment horizontal="center" vertical="center"/>
    </xf>
    <xf numFmtId="0" fontId="4" fillId="0" borderId="0" pivotButton="0" quotePrefix="0" xfId="0"/>
    <xf numFmtId="0" fontId="5" fillId="4" borderId="1" applyAlignment="1" pivotButton="0" quotePrefix="0" xfId="0">
      <alignment horizontal="center" vertical="center"/>
    </xf>
    <xf numFmtId="0" fontId="6" fillId="0" borderId="1" pivotButton="0" quotePrefix="0" xfId="0"/>
    <xf numFmtId="0" fontId="7" fillId="0" borderId="1" applyAlignment="1" pivotButton="0" quotePrefix="0" xfId="0">
      <alignment horizontal="center"/>
    </xf>
    <xf numFmtId="164" fontId="7" fillId="0" borderId="1" applyAlignment="1" pivotButton="0" quotePrefix="0" xfId="0">
      <alignment horizontal="right"/>
    </xf>
    <xf numFmtId="165" fontId="7" fillId="0" borderId="1" applyAlignment="1" pivotButton="0" quotePrefix="0" xfId="0">
      <alignment horizontal="right"/>
    </xf>
    <xf numFmtId="0" fontId="6" fillId="5" borderId="1" pivotButton="0" quotePrefix="0" xfId="0"/>
    <xf numFmtId="0" fontId="7" fillId="5" borderId="1" applyAlignment="1" pivotButton="0" quotePrefix="0" xfId="0">
      <alignment horizontal="center"/>
    </xf>
    <xf numFmtId="164" fontId="7" fillId="5" borderId="1" applyAlignment="1" pivotButton="0" quotePrefix="0" xfId="0">
      <alignment horizontal="right"/>
    </xf>
    <xf numFmtId="165" fontId="7" fillId="5" borderId="1" applyAlignment="1" pivotButton="0" quotePrefix="0" xfId="0">
      <alignment horizontal="right"/>
    </xf>
    <xf numFmtId="0" fontId="6" fillId="6" borderId="2" pivotButton="0" quotePrefix="0" xfId="0"/>
    <xf numFmtId="0" fontId="6" fillId="6" borderId="2" applyAlignment="1" pivotButton="0" quotePrefix="0" xfId="0">
      <alignment horizontal="center"/>
    </xf>
    <xf numFmtId="164" fontId="6" fillId="6" borderId="2" pivotButton="0" quotePrefix="0" xfId="0"/>
    <xf numFmtId="165" fontId="6" fillId="6" borderId="2" pivotButton="0" quotePrefix="0" xfId="0"/>
    <xf numFmtId="166" fontId="7" fillId="0" borderId="1" applyAlignment="1" pivotButton="0" quotePrefix="0" xfId="0">
      <alignment horizontal="center"/>
    </xf>
    <xf numFmtId="0" fontId="7" fillId="0" borderId="1" pivotButton="0" quotePrefix="0" xfId="0"/>
    <xf numFmtId="3" fontId="7" fillId="0" borderId="1" applyAlignment="1" pivotButton="0" quotePrefix="0" xfId="0">
      <alignment horizontal="center"/>
    </xf>
    <xf numFmtId="0" fontId="7" fillId="0" borderId="1" applyAlignment="1" pivotButton="0" quotePrefix="0" xfId="0">
      <alignment horizontal="left"/>
    </xf>
    <xf numFmtId="166" fontId="7" fillId="5" borderId="1" applyAlignment="1" pivotButton="0" quotePrefix="0" xfId="0">
      <alignment horizontal="center"/>
    </xf>
    <xf numFmtId="0" fontId="7" fillId="5" borderId="1" pivotButton="0" quotePrefix="0" xfId="0"/>
    <xf numFmtId="3" fontId="7" fillId="5" borderId="1" applyAlignment="1" pivotButton="0" quotePrefix="0" xfId="0">
      <alignment horizontal="center"/>
    </xf>
    <xf numFmtId="0" fontId="7" fillId="5" borderId="1" applyAlignment="1" pivotButton="0" quotePrefix="0" xfId="0">
      <alignment horizontal="left"/>
    </xf>
    <xf numFmtId="0" fontId="6" fillId="6" borderId="2" applyAlignment="1" pivotButton="0" quotePrefix="0" xfId="0">
      <alignment horizontal="right" vertical="center"/>
    </xf>
    <xf numFmtId="3" fontId="6" fillId="6" borderId="2" applyAlignment="1" pivotButton="0" quotePrefix="0" xfId="0">
      <alignment horizontal="center"/>
    </xf>
    <xf numFmtId="164" fontId="6" fillId="6" borderId="2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Receita por Categoria de Produto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 Vendas'!D9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 Vendas'!$B$10:$B$13</f>
            </numRef>
          </cat>
          <val>
            <numRef>
              <f>'Dashboard Vendas'!$D$10:$D$13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Categoria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Faturamento (R$)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15</row>
      <rowOff>0</rowOff>
    </from>
    <ext cx="576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"/>
  <sheetViews>
    <sheetView showGridLines="1"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22" customWidth="1" min="4" max="4"/>
    <col width="18" customWidth="1" min="5" max="5"/>
    <col width="16" customWidth="1" min="6" max="6"/>
    <col width="18" customWidth="1" min="7" max="7"/>
    <col width="15" customWidth="1" min="8" max="8"/>
    <col width="20" customWidth="1" min="9" max="9"/>
    <col width="14" customWidth="1" min="10" max="10"/>
    <col width="20" customWidth="1" min="11" max="11"/>
  </cols>
  <sheetData>
    <row r="1">
      <c r="A1" s="1" t="inlineStr">
        <is>
          <t>EXECUTIVE SALES DASHBOARD | DESEMPENHO COMERCIAL</t>
        </is>
      </c>
    </row>
    <row r="2"/>
    <row r="4">
      <c r="B4" s="2" t="inlineStr">
        <is>
          <t>FATURAMENTO TOTAL</t>
        </is>
      </c>
      <c r="C4" s="3" t="n"/>
      <c r="D4" s="2" t="inlineStr">
        <is>
          <t>TOTAL DE PEDIDOS</t>
        </is>
      </c>
      <c r="E4" s="3" t="n"/>
      <c r="F4" s="2" t="inlineStr">
        <is>
          <t>TICKET MÉDIO</t>
        </is>
      </c>
      <c r="G4" s="3" t="n"/>
      <c r="H4" s="2" t="inlineStr">
        <is>
          <t>VOLUME DE ITENS</t>
        </is>
      </c>
      <c r="I4" s="3" t="n"/>
      <c r="J4" s="2" t="inlineStr">
        <is>
          <t>MARGEM MÉDIA ESTIMADA</t>
        </is>
      </c>
      <c r="K4" s="3" t="n"/>
    </row>
    <row r="5">
      <c r="B5" s="4">
        <f>SUM(Base_Vendas!G4:G33)</f>
        <v/>
      </c>
      <c r="C5" s="3" t="n"/>
      <c r="D5" s="5">
        <f>COUNTA(Base_Vendas!A4:A33)</f>
        <v/>
      </c>
      <c r="E5" s="3" t="n"/>
      <c r="F5" s="4">
        <f>B5/D5</f>
        <v/>
      </c>
      <c r="G5" s="3" t="n"/>
      <c r="H5" s="5">
        <f>SUM(Base_Vendas!E4:E33)</f>
        <v/>
      </c>
      <c r="I5" s="3" t="n"/>
      <c r="J5" s="6" t="inlineStr">
        <is>
          <t>0.245</t>
        </is>
      </c>
      <c r="K5" s="3" t="n"/>
    </row>
    <row r="6">
      <c r="B6" s="3" t="n"/>
      <c r="C6" s="3" t="n"/>
      <c r="D6" s="3" t="n"/>
      <c r="E6" s="3" t="n"/>
      <c r="F6" s="3" t="n"/>
      <c r="G6" s="3" t="n"/>
      <c r="H6" s="3" t="n"/>
      <c r="I6" s="3" t="n"/>
      <c r="J6" s="3" t="n"/>
      <c r="K6" s="3" t="n"/>
    </row>
    <row r="8">
      <c r="B8" s="7" t="inlineStr">
        <is>
          <t>DESEMPENHO POR CATEGORIA DE PRODUTO</t>
        </is>
      </c>
      <c r="G8" s="7" t="inlineStr">
        <is>
          <t>DESEMPENHO POR REGIÃO / CANAL</t>
        </is>
      </c>
    </row>
    <row r="9">
      <c r="B9" s="8" t="inlineStr">
        <is>
          <t>Categoria</t>
        </is>
      </c>
      <c r="C9" s="8" t="inlineStr">
        <is>
          <t>Qtd. Pedidos</t>
        </is>
      </c>
      <c r="D9" s="8" t="inlineStr">
        <is>
          <t>Receita Total (R$)</t>
        </is>
      </c>
      <c r="E9" s="8" t="inlineStr">
        <is>
          <t>Ticket Médio</t>
        </is>
      </c>
      <c r="G9" s="8" t="inlineStr">
        <is>
          <t>Região</t>
        </is>
      </c>
      <c r="H9" s="8" t="inlineStr">
        <is>
          <t>Qtd. Pedidos</t>
        </is>
      </c>
      <c r="I9" s="8" t="inlineStr">
        <is>
          <t>Receita (R$)</t>
        </is>
      </c>
      <c r="J9" s="8" t="inlineStr">
        <is>
          <t>Part. %</t>
        </is>
      </c>
    </row>
    <row r="10">
      <c r="B10" s="9" t="inlineStr">
        <is>
          <t>Equipamentos</t>
        </is>
      </c>
      <c r="C10" s="10">
        <f>COUNTIF(Base_Vendas!C$4:C$33, "Equipamentos")</f>
        <v/>
      </c>
      <c r="D10" s="11">
        <f>SUMIF(Base_Vendas!C$4:C$33, "Equipamentos", Base_Vendas!G$4:G$33)</f>
        <v/>
      </c>
      <c r="E10" s="11">
        <f>D10/C10</f>
        <v/>
      </c>
      <c r="G10" s="9" t="inlineStr">
        <is>
          <t>Nordeste</t>
        </is>
      </c>
      <c r="H10" s="10">
        <f>COUNTIF(Base_Vendas!D$4:D$33, "Nordeste")</f>
        <v/>
      </c>
      <c r="I10" s="11">
        <f>SUMIF(Base_Vendas!D$4:D$33, "Nordeste", Base_Vendas!G$4:G$33)</f>
        <v/>
      </c>
      <c r="J10" s="12">
        <f>I10/$D$14</f>
        <v/>
      </c>
    </row>
    <row r="11">
      <c r="B11" s="13" t="inlineStr">
        <is>
          <t>Cabos &amp; Conectores</t>
        </is>
      </c>
      <c r="C11" s="14">
        <f>COUNTIF(Base_Vendas!C$4:C$33, "Cabos &amp; Conectores")</f>
        <v/>
      </c>
      <c r="D11" s="15">
        <f>SUMIF(Base_Vendas!C$4:C$33, "Cabos &amp; Conectores", Base_Vendas!G$4:G$33)</f>
        <v/>
      </c>
      <c r="E11" s="15">
        <f>D11/C11</f>
        <v/>
      </c>
      <c r="G11" s="13" t="inlineStr">
        <is>
          <t>Sudeste</t>
        </is>
      </c>
      <c r="H11" s="14">
        <f>COUNTIF(Base_Vendas!D$4:D$33, "Sudeste")</f>
        <v/>
      </c>
      <c r="I11" s="15">
        <f>SUMIF(Base_Vendas!D$4:D$33, "Sudeste", Base_Vendas!G$4:G$33)</f>
        <v/>
      </c>
      <c r="J11" s="16">
        <f>I11/$D$14</f>
        <v/>
      </c>
    </row>
    <row r="12">
      <c r="B12" s="9" t="inlineStr">
        <is>
          <t>Serviços &amp; Suporte</t>
        </is>
      </c>
      <c r="C12" s="10">
        <f>COUNTIF(Base_Vendas!C$4:C$33, "Serviços &amp; Suporte")</f>
        <v/>
      </c>
      <c r="D12" s="11">
        <f>SUMIF(Base_Vendas!C$4:C$33, "Serviços &amp; Suporte", Base_Vendas!G$4:G$33)</f>
        <v/>
      </c>
      <c r="E12" s="11">
        <f>D12/C12</f>
        <v/>
      </c>
      <c r="G12" s="9" t="inlineStr">
        <is>
          <t>Sul</t>
        </is>
      </c>
      <c r="H12" s="10">
        <f>COUNTIF(Base_Vendas!D$4:D$33, "Sul")</f>
        <v/>
      </c>
      <c r="I12" s="11">
        <f>SUMIF(Base_Vendas!D$4:D$33, "Sul", Base_Vendas!G$4:G$33)</f>
        <v/>
      </c>
      <c r="J12" s="12">
        <f>I12/$D$14</f>
        <v/>
      </c>
    </row>
    <row r="13">
      <c r="B13" s="13" t="inlineStr">
        <is>
          <t>Acessórios</t>
        </is>
      </c>
      <c r="C13" s="14">
        <f>COUNTIF(Base_Vendas!C$4:C$33, "Acessórios")</f>
        <v/>
      </c>
      <c r="D13" s="15">
        <f>SUMIF(Base_Vendas!C$4:C$33, "Acessórios", Base_Vendas!G$4:G$33)</f>
        <v/>
      </c>
      <c r="E13" s="15">
        <f>D13/C13</f>
        <v/>
      </c>
      <c r="G13" s="13" t="inlineStr">
        <is>
          <t>Centro-Oeste</t>
        </is>
      </c>
      <c r="H13" s="14">
        <f>COUNTIF(Base_Vendas!D$4:D$33, "Centro-Oeste")</f>
        <v/>
      </c>
      <c r="I13" s="15">
        <f>SUMIF(Base_Vendas!D$4:D$33, "Centro-Oeste", Base_Vendas!G$4:G$33)</f>
        <v/>
      </c>
      <c r="J13" s="16">
        <f>I13/$D$14</f>
        <v/>
      </c>
    </row>
    <row r="14">
      <c r="B14" s="17" t="inlineStr">
        <is>
          <t>TOTAL GERAL</t>
        </is>
      </c>
      <c r="C14" s="18">
        <f>SUM(C10:C13)</f>
        <v/>
      </c>
      <c r="D14" s="19">
        <f>SUM(D10:D13)</f>
        <v/>
      </c>
      <c r="E14" s="19">
        <f>D14/C14</f>
        <v/>
      </c>
      <c r="G14" s="17" t="inlineStr">
        <is>
          <t>TOTAL GERAL</t>
        </is>
      </c>
      <c r="H14" s="18">
        <f>SUM(H10:H13)</f>
        <v/>
      </c>
      <c r="I14" s="19">
        <f>SUM(I10:I13)</f>
        <v/>
      </c>
      <c r="J14" s="20">
        <f>SUM(J10:J13)</f>
        <v/>
      </c>
    </row>
  </sheetData>
  <mergeCells count="11">
    <mergeCell ref="F4:G4"/>
    <mergeCell ref="J4:K4"/>
    <mergeCell ref="B5:C6"/>
    <mergeCell ref="F5:G6"/>
    <mergeCell ref="D5:E6"/>
    <mergeCell ref="D4:E4"/>
    <mergeCell ref="H4:I4"/>
    <mergeCell ref="H5:I6"/>
    <mergeCell ref="J5:K6"/>
    <mergeCell ref="B4:C4"/>
    <mergeCell ref="A1:K2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4"/>
  <sheetViews>
    <sheetView showGridLines="1"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24" customWidth="1" min="3" max="3"/>
    <col width="18" customWidth="1" min="4" max="4"/>
    <col width="15" customWidth="1" min="5" max="5"/>
    <col width="20" customWidth="1" min="6" max="6"/>
    <col width="22" customWidth="1" min="7" max="7"/>
    <col width="20" customWidth="1" min="8" max="8"/>
  </cols>
  <sheetData>
    <row r="1">
      <c r="A1" s="1" t="inlineStr">
        <is>
          <t>BASE DE DADOS TRANSACIONAL DE VENDAS</t>
        </is>
      </c>
    </row>
    <row r="2"/>
    <row r="3">
      <c r="A3" s="8" t="inlineStr">
        <is>
          <t>ID Pedido</t>
        </is>
      </c>
      <c r="B3" s="8" t="inlineStr">
        <is>
          <t>Data</t>
        </is>
      </c>
      <c r="C3" s="8" t="inlineStr">
        <is>
          <t>Categoria</t>
        </is>
      </c>
      <c r="D3" s="8" t="inlineStr">
        <is>
          <t>Região</t>
        </is>
      </c>
      <c r="E3" s="8" t="inlineStr">
        <is>
          <t>Qtd Vendida</t>
        </is>
      </c>
      <c r="F3" s="8" t="inlineStr">
        <is>
          <t>Preço Unitário (R$)</t>
        </is>
      </c>
      <c r="G3" s="8" t="inlineStr">
        <is>
          <t>Total Bruto (R$)</t>
        </is>
      </c>
      <c r="H3" s="8" t="inlineStr">
        <is>
          <t>Vendedor</t>
        </is>
      </c>
    </row>
    <row r="4">
      <c r="A4" s="10" t="inlineStr">
        <is>
          <t>PED-1001</t>
        </is>
      </c>
      <c r="B4" s="21" t="inlineStr">
        <is>
          <t>2026-01-05</t>
        </is>
      </c>
      <c r="C4" s="22" t="inlineStr">
        <is>
          <t>Equipamentos</t>
        </is>
      </c>
      <c r="D4" s="10" t="inlineStr">
        <is>
          <t>Nordeste</t>
        </is>
      </c>
      <c r="E4" s="23" t="n">
        <v>4</v>
      </c>
      <c r="F4" s="11" t="n">
        <v>1250</v>
      </c>
      <c r="G4" s="11">
        <f>E4*F4</f>
        <v/>
      </c>
      <c r="H4" s="24" t="inlineStr">
        <is>
          <t>Carlos Lima</t>
        </is>
      </c>
    </row>
    <row r="5">
      <c r="A5" s="14" t="inlineStr">
        <is>
          <t>PED-1002</t>
        </is>
      </c>
      <c r="B5" s="25" t="inlineStr">
        <is>
          <t>2026-01-07</t>
        </is>
      </c>
      <c r="C5" s="26" t="inlineStr">
        <is>
          <t>Cabos &amp; Conectores</t>
        </is>
      </c>
      <c r="D5" s="14" t="inlineStr">
        <is>
          <t>Sudeste</t>
        </is>
      </c>
      <c r="E5" s="27" t="n">
        <v>25</v>
      </c>
      <c r="F5" s="15" t="n">
        <v>45</v>
      </c>
      <c r="G5" s="15">
        <f>E5*F5</f>
        <v/>
      </c>
      <c r="H5" s="28" t="inlineStr">
        <is>
          <t>Mariana Rios</t>
        </is>
      </c>
    </row>
    <row r="6">
      <c r="A6" s="10" t="inlineStr">
        <is>
          <t>PED-1003</t>
        </is>
      </c>
      <c r="B6" s="21" t="inlineStr">
        <is>
          <t>2026-01-10</t>
        </is>
      </c>
      <c r="C6" s="22" t="inlineStr">
        <is>
          <t>Serviços &amp; Suporte</t>
        </is>
      </c>
      <c r="D6" s="10" t="inlineStr">
        <is>
          <t>Nordeste</t>
        </is>
      </c>
      <c r="E6" s="23" t="n">
        <v>2</v>
      </c>
      <c r="F6" s="11" t="n">
        <v>850</v>
      </c>
      <c r="G6" s="11">
        <f>E6*F6</f>
        <v/>
      </c>
      <c r="H6" s="24" t="inlineStr">
        <is>
          <t>Carlos Lima</t>
        </is>
      </c>
    </row>
    <row r="7">
      <c r="A7" s="14" t="inlineStr">
        <is>
          <t>PED-1004</t>
        </is>
      </c>
      <c r="B7" s="25" t="inlineStr">
        <is>
          <t>2026-01-12</t>
        </is>
      </c>
      <c r="C7" s="26" t="inlineStr">
        <is>
          <t>Acessórios</t>
        </is>
      </c>
      <c r="D7" s="14" t="inlineStr">
        <is>
          <t>Sul</t>
        </is>
      </c>
      <c r="E7" s="27" t="n">
        <v>10</v>
      </c>
      <c r="F7" s="15" t="n">
        <v>89.90000000000001</v>
      </c>
      <c r="G7" s="15">
        <f>E7*F7</f>
        <v/>
      </c>
      <c r="H7" s="28" t="inlineStr">
        <is>
          <t>Felipe Rocha</t>
        </is>
      </c>
    </row>
    <row r="8">
      <c r="A8" s="10" t="inlineStr">
        <is>
          <t>PED-1005</t>
        </is>
      </c>
      <c r="B8" s="21" t="inlineStr">
        <is>
          <t>2026-01-15</t>
        </is>
      </c>
      <c r="C8" s="22" t="inlineStr">
        <is>
          <t>Equipamentos</t>
        </is>
      </c>
      <c r="D8" s="10" t="inlineStr">
        <is>
          <t>Centro-Oeste</t>
        </is>
      </c>
      <c r="E8" s="23" t="n">
        <v>2</v>
      </c>
      <c r="F8" s="11" t="n">
        <v>2400</v>
      </c>
      <c r="G8" s="11">
        <f>E8*F8</f>
        <v/>
      </c>
      <c r="H8" s="24" t="inlineStr">
        <is>
          <t>Beatriz Souza</t>
        </is>
      </c>
    </row>
    <row r="9">
      <c r="A9" s="14" t="inlineStr">
        <is>
          <t>PED-1006</t>
        </is>
      </c>
      <c r="B9" s="25" t="inlineStr">
        <is>
          <t>2026-01-18</t>
        </is>
      </c>
      <c r="C9" s="26" t="inlineStr">
        <is>
          <t>Cabos &amp; Conectores</t>
        </is>
      </c>
      <c r="D9" s="14" t="inlineStr">
        <is>
          <t>Nordeste</t>
        </is>
      </c>
      <c r="E9" s="27" t="n">
        <v>50</v>
      </c>
      <c r="F9" s="15" t="n">
        <v>38.5</v>
      </c>
      <c r="G9" s="15">
        <f>E9*F9</f>
        <v/>
      </c>
      <c r="H9" s="28" t="inlineStr">
        <is>
          <t>Carlos Lima</t>
        </is>
      </c>
    </row>
    <row r="10">
      <c r="A10" s="10" t="inlineStr">
        <is>
          <t>PED-1007</t>
        </is>
      </c>
      <c r="B10" s="21" t="inlineStr">
        <is>
          <t>2026-01-20</t>
        </is>
      </c>
      <c r="C10" s="22" t="inlineStr">
        <is>
          <t>Serviços &amp; Suporte</t>
        </is>
      </c>
      <c r="D10" s="10" t="inlineStr">
        <is>
          <t>Sudeste</t>
        </is>
      </c>
      <c r="E10" s="23" t="n">
        <v>1</v>
      </c>
      <c r="F10" s="11" t="n">
        <v>1500</v>
      </c>
      <c r="G10" s="11">
        <f>E10*F10</f>
        <v/>
      </c>
      <c r="H10" s="24" t="inlineStr">
        <is>
          <t>Mariana Rios</t>
        </is>
      </c>
    </row>
    <row r="11">
      <c r="A11" s="14" t="inlineStr">
        <is>
          <t>PED-1008</t>
        </is>
      </c>
      <c r="B11" s="25" t="inlineStr">
        <is>
          <t>2026-01-22</t>
        </is>
      </c>
      <c r="C11" s="26" t="inlineStr">
        <is>
          <t>Acessórios</t>
        </is>
      </c>
      <c r="D11" s="14" t="inlineStr">
        <is>
          <t>Nordeste</t>
        </is>
      </c>
      <c r="E11" s="27" t="n">
        <v>15</v>
      </c>
      <c r="F11" s="15" t="n">
        <v>65</v>
      </c>
      <c r="G11" s="15">
        <f>E11*F11</f>
        <v/>
      </c>
      <c r="H11" s="28" t="inlineStr">
        <is>
          <t>Carlos Lima</t>
        </is>
      </c>
    </row>
    <row r="12">
      <c r="A12" s="10" t="inlineStr">
        <is>
          <t>PED-1009</t>
        </is>
      </c>
      <c r="B12" s="21" t="inlineStr">
        <is>
          <t>2026-01-25</t>
        </is>
      </c>
      <c r="C12" s="22" t="inlineStr">
        <is>
          <t>Equipamentos</t>
        </is>
      </c>
      <c r="D12" s="10" t="inlineStr">
        <is>
          <t>Sudeste</t>
        </is>
      </c>
      <c r="E12" s="23" t="n">
        <v>3</v>
      </c>
      <c r="F12" s="11" t="n">
        <v>1890</v>
      </c>
      <c r="G12" s="11">
        <f>E12*F12</f>
        <v/>
      </c>
      <c r="H12" s="24" t="inlineStr">
        <is>
          <t>Mariana Rios</t>
        </is>
      </c>
    </row>
    <row r="13">
      <c r="A13" s="14" t="inlineStr">
        <is>
          <t>PED-1010</t>
        </is>
      </c>
      <c r="B13" s="25" t="inlineStr">
        <is>
          <t>2026-01-28</t>
        </is>
      </c>
      <c r="C13" s="26" t="inlineStr">
        <is>
          <t>Cabos &amp; Conectores</t>
        </is>
      </c>
      <c r="D13" s="14" t="inlineStr">
        <is>
          <t>Centro-Oeste</t>
        </is>
      </c>
      <c r="E13" s="27" t="n">
        <v>30</v>
      </c>
      <c r="F13" s="15" t="n">
        <v>42</v>
      </c>
      <c r="G13" s="15">
        <f>E13*F13</f>
        <v/>
      </c>
      <c r="H13" s="28" t="inlineStr">
        <is>
          <t>Beatriz Souza</t>
        </is>
      </c>
    </row>
    <row r="14">
      <c r="A14" s="10" t="inlineStr">
        <is>
          <t>PED-1011</t>
        </is>
      </c>
      <c r="B14" s="21" t="inlineStr">
        <is>
          <t>2026-02-02</t>
        </is>
      </c>
      <c r="C14" s="22" t="inlineStr">
        <is>
          <t>Serviços &amp; Suporte</t>
        </is>
      </c>
      <c r="D14" s="10" t="inlineStr">
        <is>
          <t>Sul</t>
        </is>
      </c>
      <c r="E14" s="23" t="n">
        <v>3</v>
      </c>
      <c r="F14" s="11" t="n">
        <v>750</v>
      </c>
      <c r="G14" s="11">
        <f>E14*F14</f>
        <v/>
      </c>
      <c r="H14" s="24" t="inlineStr">
        <is>
          <t>Felipe Rocha</t>
        </is>
      </c>
    </row>
    <row r="15">
      <c r="A15" s="14" t="inlineStr">
        <is>
          <t>PED-1012</t>
        </is>
      </c>
      <c r="B15" s="25" t="inlineStr">
        <is>
          <t>2026-02-04</t>
        </is>
      </c>
      <c r="C15" s="26" t="inlineStr">
        <is>
          <t>Equipamentos</t>
        </is>
      </c>
      <c r="D15" s="14" t="inlineStr">
        <is>
          <t>Nordeste</t>
        </is>
      </c>
      <c r="E15" s="27" t="n">
        <v>5</v>
      </c>
      <c r="F15" s="15" t="n">
        <v>1100</v>
      </c>
      <c r="G15" s="15">
        <f>E15*F15</f>
        <v/>
      </c>
      <c r="H15" s="28" t="inlineStr">
        <is>
          <t>Carlos Lima</t>
        </is>
      </c>
    </row>
    <row r="16">
      <c r="A16" s="10" t="inlineStr">
        <is>
          <t>PED-1013</t>
        </is>
      </c>
      <c r="B16" s="21" t="inlineStr">
        <is>
          <t>2026-02-06</t>
        </is>
      </c>
      <c r="C16" s="22" t="inlineStr">
        <is>
          <t>Acessórios</t>
        </is>
      </c>
      <c r="D16" s="10" t="inlineStr">
        <is>
          <t>Sudeste</t>
        </is>
      </c>
      <c r="E16" s="23" t="n">
        <v>8</v>
      </c>
      <c r="F16" s="11" t="n">
        <v>120</v>
      </c>
      <c r="G16" s="11">
        <f>E16*F16</f>
        <v/>
      </c>
      <c r="H16" s="24" t="inlineStr">
        <is>
          <t>Mariana Rios</t>
        </is>
      </c>
    </row>
    <row r="17">
      <c r="A17" s="14" t="inlineStr">
        <is>
          <t>PED-1014</t>
        </is>
      </c>
      <c r="B17" s="25" t="inlineStr">
        <is>
          <t>2026-02-08</t>
        </is>
      </c>
      <c r="C17" s="26" t="inlineStr">
        <is>
          <t>Cabos &amp; Conectores</t>
        </is>
      </c>
      <c r="D17" s="14" t="inlineStr">
        <is>
          <t>Nordeste</t>
        </is>
      </c>
      <c r="E17" s="27" t="n">
        <v>40</v>
      </c>
      <c r="F17" s="15" t="n">
        <v>40</v>
      </c>
      <c r="G17" s="15">
        <f>E17*F17</f>
        <v/>
      </c>
      <c r="H17" s="28" t="inlineStr">
        <is>
          <t>Carlos Lima</t>
        </is>
      </c>
    </row>
    <row r="18">
      <c r="A18" s="10" t="inlineStr">
        <is>
          <t>PED-1015</t>
        </is>
      </c>
      <c r="B18" s="21" t="inlineStr">
        <is>
          <t>2026-02-12</t>
        </is>
      </c>
      <c r="C18" s="22" t="inlineStr">
        <is>
          <t>Serviços &amp; Suporte</t>
        </is>
      </c>
      <c r="D18" s="10" t="inlineStr">
        <is>
          <t>Centro-Oeste</t>
        </is>
      </c>
      <c r="E18" s="23" t="n">
        <v>2</v>
      </c>
      <c r="F18" s="11" t="n">
        <v>950</v>
      </c>
      <c r="G18" s="11">
        <f>E18*F18</f>
        <v/>
      </c>
      <c r="H18" s="24" t="inlineStr">
        <is>
          <t>Beatriz Souza</t>
        </is>
      </c>
    </row>
    <row r="19">
      <c r="A19" s="14" t="inlineStr">
        <is>
          <t>PED-1016</t>
        </is>
      </c>
      <c r="B19" s="25" t="inlineStr">
        <is>
          <t>2026-02-15</t>
        </is>
      </c>
      <c r="C19" s="26" t="inlineStr">
        <is>
          <t>Equipamentos</t>
        </is>
      </c>
      <c r="D19" s="14" t="inlineStr">
        <is>
          <t>Sul</t>
        </is>
      </c>
      <c r="E19" s="27" t="n">
        <v>1</v>
      </c>
      <c r="F19" s="15" t="n">
        <v>3200</v>
      </c>
      <c r="G19" s="15">
        <f>E19*F19</f>
        <v/>
      </c>
      <c r="H19" s="28" t="inlineStr">
        <is>
          <t>Felipe Rocha</t>
        </is>
      </c>
    </row>
    <row r="20">
      <c r="A20" s="10" t="inlineStr">
        <is>
          <t>PED-1017</t>
        </is>
      </c>
      <c r="B20" s="21" t="inlineStr">
        <is>
          <t>2026-02-18</t>
        </is>
      </c>
      <c r="C20" s="22" t="inlineStr">
        <is>
          <t>Acessórios</t>
        </is>
      </c>
      <c r="D20" s="10" t="inlineStr">
        <is>
          <t>Nordeste</t>
        </is>
      </c>
      <c r="E20" s="23" t="n">
        <v>20</v>
      </c>
      <c r="F20" s="11" t="n">
        <v>55</v>
      </c>
      <c r="G20" s="11">
        <f>E20*F20</f>
        <v/>
      </c>
      <c r="H20" s="24" t="inlineStr">
        <is>
          <t>Carlos Lima</t>
        </is>
      </c>
    </row>
    <row r="21">
      <c r="A21" s="14" t="inlineStr">
        <is>
          <t>PED-1018</t>
        </is>
      </c>
      <c r="B21" s="25" t="inlineStr">
        <is>
          <t>2026-02-20</t>
        </is>
      </c>
      <c r="C21" s="26" t="inlineStr">
        <is>
          <t>Cabos &amp; Conectores</t>
        </is>
      </c>
      <c r="D21" s="14" t="inlineStr">
        <is>
          <t>Sudeste</t>
        </is>
      </c>
      <c r="E21" s="27" t="n">
        <v>60</v>
      </c>
      <c r="F21" s="15" t="n">
        <v>35</v>
      </c>
      <c r="G21" s="15">
        <f>E21*F21</f>
        <v/>
      </c>
      <c r="H21" s="28" t="inlineStr">
        <is>
          <t>Mariana Rios</t>
        </is>
      </c>
    </row>
    <row r="22">
      <c r="A22" s="10" t="inlineStr">
        <is>
          <t>PED-1019</t>
        </is>
      </c>
      <c r="B22" s="21" t="inlineStr">
        <is>
          <t>2026-02-22</t>
        </is>
      </c>
      <c r="C22" s="22" t="inlineStr">
        <is>
          <t>Serviços &amp; Suporte</t>
        </is>
      </c>
      <c r="D22" s="10" t="inlineStr">
        <is>
          <t>Nordeste</t>
        </is>
      </c>
      <c r="E22" s="23" t="n">
        <v>4</v>
      </c>
      <c r="F22" s="11" t="n">
        <v>600</v>
      </c>
      <c r="G22" s="11">
        <f>E22*F22</f>
        <v/>
      </c>
      <c r="H22" s="24" t="inlineStr">
        <is>
          <t>Carlos Lima</t>
        </is>
      </c>
    </row>
    <row r="23">
      <c r="A23" s="14" t="inlineStr">
        <is>
          <t>PED-1020</t>
        </is>
      </c>
      <c r="B23" s="25" t="inlineStr">
        <is>
          <t>2026-02-25</t>
        </is>
      </c>
      <c r="C23" s="26" t="inlineStr">
        <is>
          <t>Equipamentos</t>
        </is>
      </c>
      <c r="D23" s="14" t="inlineStr">
        <is>
          <t>Nordeste</t>
        </is>
      </c>
      <c r="E23" s="27" t="n">
        <v>3</v>
      </c>
      <c r="F23" s="15" t="n">
        <v>1450</v>
      </c>
      <c r="G23" s="15">
        <f>E23*F23</f>
        <v/>
      </c>
      <c r="H23" s="28" t="inlineStr">
        <is>
          <t>Carlos Lima</t>
        </is>
      </c>
    </row>
    <row r="24">
      <c r="A24" s="10" t="inlineStr">
        <is>
          <t>PED-1021</t>
        </is>
      </c>
      <c r="B24" s="21" t="inlineStr">
        <is>
          <t>2026-03-01</t>
        </is>
      </c>
      <c r="C24" s="22" t="inlineStr">
        <is>
          <t>Acessórios</t>
        </is>
      </c>
      <c r="D24" s="10" t="inlineStr">
        <is>
          <t>Centro-Oeste</t>
        </is>
      </c>
      <c r="E24" s="23" t="n">
        <v>12</v>
      </c>
      <c r="F24" s="11" t="n">
        <v>75</v>
      </c>
      <c r="G24" s="11">
        <f>E24*F24</f>
        <v/>
      </c>
      <c r="H24" s="24" t="inlineStr">
        <is>
          <t>Beatriz Souza</t>
        </is>
      </c>
    </row>
    <row r="25">
      <c r="A25" s="14" t="inlineStr">
        <is>
          <t>PED-1022</t>
        </is>
      </c>
      <c r="B25" s="25" t="inlineStr">
        <is>
          <t>2026-03-03</t>
        </is>
      </c>
      <c r="C25" s="26" t="inlineStr">
        <is>
          <t>Cabos &amp; Conectores</t>
        </is>
      </c>
      <c r="D25" s="14" t="inlineStr">
        <is>
          <t>Sul</t>
        </is>
      </c>
      <c r="E25" s="27" t="n">
        <v>35</v>
      </c>
      <c r="F25" s="15" t="n">
        <v>48</v>
      </c>
      <c r="G25" s="15">
        <f>E25*F25</f>
        <v/>
      </c>
      <c r="H25" s="28" t="inlineStr">
        <is>
          <t>Felipe Rocha</t>
        </is>
      </c>
    </row>
    <row r="26">
      <c r="A26" s="10" t="inlineStr">
        <is>
          <t>PED-1023</t>
        </is>
      </c>
      <c r="B26" s="21" t="inlineStr">
        <is>
          <t>2026-03-06</t>
        </is>
      </c>
      <c r="C26" s="22" t="inlineStr">
        <is>
          <t>Serviços &amp; Suporte</t>
        </is>
      </c>
      <c r="D26" s="10" t="inlineStr">
        <is>
          <t>Sudeste</t>
        </is>
      </c>
      <c r="E26" s="23" t="n">
        <v>2</v>
      </c>
      <c r="F26" s="11" t="n">
        <v>1200</v>
      </c>
      <c r="G26" s="11">
        <f>E26*F26</f>
        <v/>
      </c>
      <c r="H26" s="24" t="inlineStr">
        <is>
          <t>Mariana Rios</t>
        </is>
      </c>
    </row>
    <row r="27">
      <c r="A27" s="14" t="inlineStr">
        <is>
          <t>PED-1024</t>
        </is>
      </c>
      <c r="B27" s="25" t="inlineStr">
        <is>
          <t>2026-03-08</t>
        </is>
      </c>
      <c r="C27" s="26" t="inlineStr">
        <is>
          <t>Equipamentos</t>
        </is>
      </c>
      <c r="D27" s="14" t="inlineStr">
        <is>
          <t>Nordeste</t>
        </is>
      </c>
      <c r="E27" s="27" t="n">
        <v>2</v>
      </c>
      <c r="F27" s="15" t="n">
        <v>2800</v>
      </c>
      <c r="G27" s="15">
        <f>E27*F27</f>
        <v/>
      </c>
      <c r="H27" s="28" t="inlineStr">
        <is>
          <t>Carlos Lima</t>
        </is>
      </c>
    </row>
    <row r="28">
      <c r="A28" s="10" t="inlineStr">
        <is>
          <t>PED-1025</t>
        </is>
      </c>
      <c r="B28" s="21" t="inlineStr">
        <is>
          <t>2026-03-11</t>
        </is>
      </c>
      <c r="C28" s="22" t="inlineStr">
        <is>
          <t>Acessórios</t>
        </is>
      </c>
      <c r="D28" s="10" t="inlineStr">
        <is>
          <t>Sudeste</t>
        </is>
      </c>
      <c r="E28" s="23" t="n">
        <v>14</v>
      </c>
      <c r="F28" s="11" t="n">
        <v>95</v>
      </c>
      <c r="G28" s="11">
        <f>E28*F28</f>
        <v/>
      </c>
      <c r="H28" s="24" t="inlineStr">
        <is>
          <t>Mariana Rios</t>
        </is>
      </c>
    </row>
    <row r="29">
      <c r="A29" s="14" t="inlineStr">
        <is>
          <t>PED-1026</t>
        </is>
      </c>
      <c r="B29" s="25" t="inlineStr">
        <is>
          <t>2026-03-14</t>
        </is>
      </c>
      <c r="C29" s="26" t="inlineStr">
        <is>
          <t>Cabos &amp; Conectores</t>
        </is>
      </c>
      <c r="D29" s="14" t="inlineStr">
        <is>
          <t>Nordeste</t>
        </is>
      </c>
      <c r="E29" s="27" t="n">
        <v>45</v>
      </c>
      <c r="F29" s="15" t="n">
        <v>41</v>
      </c>
      <c r="G29" s="15">
        <f>E29*F29</f>
        <v/>
      </c>
      <c r="H29" s="28" t="inlineStr">
        <is>
          <t>Carlos Lima</t>
        </is>
      </c>
    </row>
    <row r="30">
      <c r="A30" s="10" t="inlineStr">
        <is>
          <t>PED-1027</t>
        </is>
      </c>
      <c r="B30" s="21" t="inlineStr">
        <is>
          <t>2026-03-16</t>
        </is>
      </c>
      <c r="C30" s="22" t="inlineStr">
        <is>
          <t>Serviços &amp; Suporte</t>
        </is>
      </c>
      <c r="D30" s="10" t="inlineStr">
        <is>
          <t>Sul</t>
        </is>
      </c>
      <c r="E30" s="23" t="n">
        <v>1</v>
      </c>
      <c r="F30" s="11" t="n">
        <v>1800</v>
      </c>
      <c r="G30" s="11">
        <f>E30*F30</f>
        <v/>
      </c>
      <c r="H30" s="24" t="inlineStr">
        <is>
          <t>Felipe Rocha</t>
        </is>
      </c>
    </row>
    <row r="31">
      <c r="A31" s="14" t="inlineStr">
        <is>
          <t>PED-1028</t>
        </is>
      </c>
      <c r="B31" s="25" t="inlineStr">
        <is>
          <t>2026-03-19</t>
        </is>
      </c>
      <c r="C31" s="26" t="inlineStr">
        <is>
          <t>Equipamentos</t>
        </is>
      </c>
      <c r="D31" s="14" t="inlineStr">
        <is>
          <t>Centro-Oeste</t>
        </is>
      </c>
      <c r="E31" s="27" t="n">
        <v>4</v>
      </c>
      <c r="F31" s="15" t="n">
        <v>1350</v>
      </c>
      <c r="G31" s="15">
        <f>E31*F31</f>
        <v/>
      </c>
      <c r="H31" s="28" t="inlineStr">
        <is>
          <t>Beatriz Souza</t>
        </is>
      </c>
    </row>
    <row r="32">
      <c r="A32" s="10" t="inlineStr">
        <is>
          <t>PED-1029</t>
        </is>
      </c>
      <c r="B32" s="21" t="inlineStr">
        <is>
          <t>2026-03-22</t>
        </is>
      </c>
      <c r="C32" s="22" t="inlineStr">
        <is>
          <t>Acessórios</t>
        </is>
      </c>
      <c r="D32" s="10" t="inlineStr">
        <is>
          <t>Nordeste</t>
        </is>
      </c>
      <c r="E32" s="23" t="n">
        <v>18</v>
      </c>
      <c r="F32" s="11" t="n">
        <v>62</v>
      </c>
      <c r="G32" s="11">
        <f>E32*F32</f>
        <v/>
      </c>
      <c r="H32" s="24" t="inlineStr">
        <is>
          <t>Carlos Lima</t>
        </is>
      </c>
    </row>
    <row r="33">
      <c r="A33" s="14" t="inlineStr">
        <is>
          <t>PED-1030</t>
        </is>
      </c>
      <c r="B33" s="25" t="inlineStr">
        <is>
          <t>2026-03-25</t>
        </is>
      </c>
      <c r="C33" s="26" t="inlineStr">
        <is>
          <t>Cabos &amp; Conectores</t>
        </is>
      </c>
      <c r="D33" s="14" t="inlineStr">
        <is>
          <t>Sudeste</t>
        </is>
      </c>
      <c r="E33" s="27" t="n">
        <v>55</v>
      </c>
      <c r="F33" s="15" t="n">
        <v>39</v>
      </c>
      <c r="G33" s="15">
        <f>E33*F33</f>
        <v/>
      </c>
      <c r="H33" s="28" t="inlineStr">
        <is>
          <t>Mariana Rios</t>
        </is>
      </c>
    </row>
    <row r="34">
      <c r="A34" s="29" t="inlineStr">
        <is>
          <t>TOTAL CONSOLIDADO:</t>
        </is>
      </c>
      <c r="B34" s="17" t="n"/>
      <c r="C34" s="17" t="n"/>
      <c r="D34" s="17" t="n"/>
      <c r="E34" s="30">
        <f>SUM(E4:E33)</f>
        <v/>
      </c>
      <c r="F34" s="18" t="inlineStr">
        <is>
          <t>-</t>
        </is>
      </c>
      <c r="G34" s="31">
        <f>SUM(G4:G33)</f>
        <v/>
      </c>
      <c r="H34" s="17" t="inlineStr"/>
    </row>
  </sheetData>
  <mergeCells count="2">
    <mergeCell ref="A1:H2"/>
    <mergeCell ref="A34:D3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2026-09-18T14:09:10Z</dcterms:created>
  <dcterms:modified xmlns:dcterms="http://purl.org/dc/terms/" xmlns:xsi="http://www.w3.org/2001/XMLSchema-instance" xsi:type="dcterms:W3CDTF">2026-09-18T14:09:10Z</dcterms:modified>
</cp:coreProperties>
</file>