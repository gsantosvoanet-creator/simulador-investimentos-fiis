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Geral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Despesas_Dedutiveis" sheetId="3" state="visible" r:id="rId3"/>
    <sheet xmlns:r="http://schemas.openxmlformats.org/officeDocument/2006/relationships" name="Bens_Direi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yyyy-mm-dd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D0E1FD"/>
      <sz val="10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FFFFFF"/>
      <sz val="9"/>
    </font>
    <font>
      <name val="Segoe UI"/>
      <b val="1"/>
      <color rgb="001B365D"/>
      <sz val="16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4C7E"/>
        <bgColor rgb="002B4C7E"/>
      </patternFill>
    </fill>
    <fill>
      <patternFill patternType="solid">
        <fgColor rgb="00F0F4F8"/>
        <bgColor rgb="00F0F4F8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9" fillId="4" borderId="1" pivotButton="0" quotePrefix="0" xfId="0"/>
    <xf numFmtId="0" fontId="10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10" fillId="0" borderId="1" pivotButton="0" quotePrefix="0" xfId="0"/>
    <xf numFmtId="164" fontId="10" fillId="0" borderId="1" applyAlignment="1" pivotButton="0" quotePrefix="0" xfId="0">
      <alignment horizontal="right"/>
    </xf>
    <xf numFmtId="164" fontId="10" fillId="0" borderId="1" pivotButton="0" quotePrefix="0" xfId="0"/>
    <xf numFmtId="0" fontId="9" fillId="5" borderId="2" applyAlignment="1" pivotButton="0" quotePrefix="0" xfId="0">
      <alignment horizontal="right" vertical="center"/>
    </xf>
    <xf numFmtId="0" fontId="0" fillId="0" borderId="2" pivotButton="0" quotePrefix="0" xfId="0"/>
    <xf numFmtId="164" fontId="9" fillId="5" borderId="2" applyAlignment="1" pivotButton="0" quotePrefix="0" xfId="0">
      <alignment horizontal="right"/>
    </xf>
    <xf numFmtId="165" fontId="10" fillId="0" borderId="1" applyAlignment="1" pivotButton="0" quotePrefix="0" xfId="0">
      <alignment horizontal="center"/>
    </xf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18" customWidth="1" min="3" max="3"/>
    <col width="26" customWidth="1" min="4" max="4"/>
    <col width="35" customWidth="1" min="5" max="5"/>
    <col width="15" customWidth="1" min="6" max="6"/>
    <col width="15" customWidth="1" min="7" max="7"/>
    <col width="5" customWidth="1" min="8" max="8"/>
  </cols>
  <sheetData>
    <row r="1">
      <c r="A1" s="1" t="inlineStr">
        <is>
          <t>PAINEL DE CONTROLE FISCAL - DECLARAÇÃO DE IMPOSTO DE RENDA</t>
        </is>
      </c>
    </row>
    <row r="2"/>
    <row r="3">
      <c r="A3" s="2" t="inlineStr">
        <is>
          <t>Visão consolidada dos rendimentos tributáveis, isentos, deduções e património declarado.</t>
        </is>
      </c>
    </row>
    <row r="5">
      <c r="B5" s="3" t="inlineStr">
        <is>
          <t>RENDIMENTOS TRIBUTÁVEIS</t>
        </is>
      </c>
      <c r="C5" s="4" t="n"/>
      <c r="D5" s="3" t="inlineStr">
        <is>
          <t>DEDUÇÕES LEGAIS</t>
        </is>
      </c>
      <c r="E5" s="4" t="n"/>
      <c r="F5" s="3" t="inlineStr">
        <is>
          <t>PATRIMÓNIO DECLARADO</t>
        </is>
      </c>
      <c r="G5" s="4" t="n"/>
    </row>
    <row r="6">
      <c r="B6" s="5">
        <f>Rendimentos!F18</f>
        <v/>
      </c>
      <c r="C6" s="4" t="n"/>
      <c r="D6" s="5">
        <f>Despesas_Dedutiveis!F18</f>
        <v/>
      </c>
      <c r="E6" s="4" t="n"/>
      <c r="F6" s="5">
        <f>Bens_Direitos!F18</f>
        <v/>
      </c>
      <c r="G6" s="4" t="n"/>
    </row>
    <row r="9">
      <c r="B9" s="6" t="inlineStr">
        <is>
          <t>DEMONSTRATIVO CONSOLIDADO PARA PREENCHIMENTO DO IRPF</t>
        </is>
      </c>
    </row>
    <row r="10">
      <c r="B10" s="7" t="inlineStr">
        <is>
          <t>Categoria / Grupo</t>
        </is>
      </c>
      <c r="C10" s="7" t="inlineStr">
        <is>
          <t>Qtd. Itens</t>
        </is>
      </c>
      <c r="D10" s="7" t="inlineStr">
        <is>
          <t>Valor Consolidado (R$)</t>
        </is>
      </c>
      <c r="E10" s="7" t="inlineStr">
        <is>
          <t>Observação</t>
        </is>
      </c>
    </row>
    <row r="11">
      <c r="B11" s="8" t="inlineStr">
        <is>
          <t>1. Rendimentos Tributáveis Recebidos de PJ</t>
        </is>
      </c>
      <c r="C11" s="9">
        <f>COUNTA(Rendimentos!B6:B17)</f>
        <v/>
      </c>
      <c r="D11" s="10">
        <f>Rendimentos!F18</f>
        <v/>
      </c>
      <c r="E11" s="11" t="inlineStr">
        <is>
          <t>Salários, pró-labore, 13º</t>
        </is>
      </c>
    </row>
    <row r="12">
      <c r="B12" s="12" t="inlineStr">
        <is>
          <t>2. IRRF Retido na Fonte (Compensável)</t>
        </is>
      </c>
      <c r="C12" s="13">
        <f>COUNTA(Rendimentos!B6:B17)</f>
        <v/>
      </c>
      <c r="D12" s="14">
        <f>Rendimentos!G18</f>
        <v/>
      </c>
      <c r="E12" s="15" t="inlineStr">
        <is>
          <t>Imposto já pago retido em folha</t>
        </is>
      </c>
    </row>
    <row r="13">
      <c r="B13" s="8" t="inlineStr">
        <is>
          <t>3. Despesas Médicas e Odontológicas (100% dedutível)</t>
        </is>
      </c>
      <c r="C13" s="9">
        <f>COUNTIF(Despesas_Dedutiveis!C6:C17, "Saúde")</f>
        <v/>
      </c>
      <c r="D13" s="10">
        <f>SUMIF(Despesas_Dedutiveis!C6:C17, "Saúde", Despesas_Dedutiveis!F6:F17)</f>
        <v/>
      </c>
      <c r="E13" s="11" t="inlineStr">
        <is>
          <t>Sem limite legal de teto</t>
        </is>
      </c>
    </row>
    <row r="14">
      <c r="B14" s="12" t="inlineStr">
        <is>
          <t>4. Despesas com Educação / Instrução</t>
        </is>
      </c>
      <c r="C14" s="13">
        <f>COUNTIF(Despesas_Dedutiveis!C6:C17, "Educação")</f>
        <v/>
      </c>
      <c r="D14" s="14">
        <f>SUMIF(Despesas_Dedutiveis!C6:C17, "Educação", Despesas_Dedutiveis!F6:F17)</f>
        <v/>
      </c>
      <c r="E14" s="15" t="inlineStr">
        <is>
          <t>Sujeito ao limite individual anual</t>
        </is>
      </c>
    </row>
    <row r="15">
      <c r="B15" s="8" t="inlineStr">
        <is>
          <t>5. Previdência Privada (PGBL)</t>
        </is>
      </c>
      <c r="C15" s="9">
        <f>COUNTIF(Despesas_Dedutiveis!C6:C17, "Previdência (PGBL)")</f>
        <v/>
      </c>
      <c r="D15" s="10">
        <f>SUMIF(Despesas_Dedutiveis!C6:C17, "Previdência (PGBL)", Despesas_Dedutiveis!F6:F17)</f>
        <v/>
      </c>
      <c r="E15" s="11" t="inlineStr">
        <is>
          <t>Até 12% da renda bruta</t>
        </is>
      </c>
    </row>
    <row r="16">
      <c r="B16" s="12" t="inlineStr">
        <is>
          <t>6. Bens e Imóveis (Valor em 31/12)</t>
        </is>
      </c>
      <c r="C16" s="13">
        <f>COUNTA(Bens_Direitos!B6:B17)</f>
        <v/>
      </c>
      <c r="D16" s="14">
        <f>Bens_Direitos!F18</f>
        <v/>
      </c>
      <c r="E16" s="15" t="inlineStr">
        <is>
          <t>Posição patrimonial informada</t>
        </is>
      </c>
    </row>
  </sheetData>
  <mergeCells count="7">
    <mergeCell ref="D6:E6"/>
    <mergeCell ref="B6:C6"/>
    <mergeCell ref="B5:C5"/>
    <mergeCell ref="F5:G5"/>
    <mergeCell ref="D5:E5"/>
    <mergeCell ref="F6:G6"/>
    <mergeCell ref="A1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28" customWidth="1" min="4" max="4"/>
    <col width="22" customWidth="1" min="5" max="5"/>
    <col width="24" customWidth="1" min="6" max="6"/>
    <col width="22" customWidth="1" min="7" max="7"/>
  </cols>
  <sheetData>
    <row r="1">
      <c r="A1" s="1" t="inlineStr">
        <is>
          <t>CONTROLE DE FONTES PAGADORAS E RENDIMENTOS</t>
        </is>
      </c>
    </row>
    <row r="2"/>
    <row r="5">
      <c r="A5" s="16" t="inlineStr">
        <is>
          <t>Item</t>
        </is>
      </c>
      <c r="B5" s="16" t="inlineStr">
        <is>
          <t>CNPJ / CPF da Fonte</t>
        </is>
      </c>
      <c r="C5" s="16" t="inlineStr">
        <is>
          <t>Nome da Fonte Pagadora</t>
        </is>
      </c>
      <c r="D5" s="16" t="inlineStr">
        <is>
          <t>Tipo de Rendimento</t>
        </is>
      </c>
      <c r="E5" s="16" t="inlineStr">
        <is>
          <t>Titular / Dependente</t>
        </is>
      </c>
      <c r="F5" s="16" t="inlineStr">
        <is>
          <t>Rendimento Bruto (R$)</t>
        </is>
      </c>
      <c r="G5" s="16" t="inlineStr">
        <is>
          <t>IRRF Retido (R$)</t>
        </is>
      </c>
    </row>
    <row r="6">
      <c r="A6" s="17" t="n">
        <v>1</v>
      </c>
      <c r="B6" s="17" t="inlineStr">
        <is>
          <t>12.345.678/0001-90</t>
        </is>
      </c>
      <c r="C6" s="18" t="inlineStr">
        <is>
          <t>Empresa Alpha Tecnologia Ltda</t>
        </is>
      </c>
      <c r="D6" s="18" t="inlineStr">
        <is>
          <t>Salário / Pró-labore</t>
        </is>
      </c>
      <c r="E6" s="17" t="inlineStr">
        <is>
          <t>Titular</t>
        </is>
      </c>
      <c r="F6" s="19" t="n">
        <v>78500</v>
      </c>
      <c r="G6" s="19" t="n">
        <v>11420</v>
      </c>
    </row>
    <row r="7">
      <c r="A7" s="17" t="n">
        <v>2</v>
      </c>
      <c r="B7" s="17" t="inlineStr">
        <is>
          <t>98.765.432/0001-10</t>
        </is>
      </c>
      <c r="C7" s="18" t="inlineStr">
        <is>
          <t>Beta Soluções e Serviços SA</t>
        </is>
      </c>
      <c r="D7" s="18" t="inlineStr">
        <is>
          <t>Prestação de Serviços</t>
        </is>
      </c>
      <c r="E7" s="17" t="inlineStr">
        <is>
          <t>Titular</t>
        </is>
      </c>
      <c r="F7" s="19" t="n">
        <v>14200</v>
      </c>
      <c r="G7" s="19" t="n">
        <v>1250</v>
      </c>
    </row>
    <row r="8">
      <c r="A8" s="17" t="n">
        <v>3</v>
      </c>
      <c r="B8" s="17" t="inlineStr">
        <is>
          <t>00.000.000/0001-91</t>
        </is>
      </c>
      <c r="C8" s="18" t="inlineStr">
        <is>
          <t>Banco do Brasil S.A.</t>
        </is>
      </c>
      <c r="D8" s="18" t="inlineStr">
        <is>
          <t>Rend. Isento (Poupança/LCI)</t>
        </is>
      </c>
      <c r="E8" s="17" t="inlineStr">
        <is>
          <t>Titular</t>
        </is>
      </c>
      <c r="F8" s="19" t="n">
        <v>2300</v>
      </c>
      <c r="G8" s="19" t="n">
        <v>0</v>
      </c>
    </row>
    <row r="9">
      <c r="A9" s="17" t="n">
        <v>4</v>
      </c>
      <c r="B9" s="18" t="n"/>
      <c r="C9" s="18" t="n"/>
      <c r="D9" s="18" t="n"/>
      <c r="E9" s="18" t="n"/>
      <c r="F9" s="20" t="n"/>
      <c r="G9" s="20" t="n"/>
    </row>
    <row r="10">
      <c r="A10" s="17" t="n">
        <v>5</v>
      </c>
      <c r="B10" s="18" t="n"/>
      <c r="C10" s="18" t="n"/>
      <c r="D10" s="18" t="n"/>
      <c r="E10" s="18" t="n"/>
      <c r="F10" s="20" t="n"/>
      <c r="G10" s="20" t="n"/>
    </row>
    <row r="11">
      <c r="A11" s="17" t="n">
        <v>6</v>
      </c>
      <c r="B11" s="18" t="n"/>
      <c r="C11" s="18" t="n"/>
      <c r="D11" s="18" t="n"/>
      <c r="E11" s="18" t="n"/>
      <c r="F11" s="20" t="n"/>
      <c r="G11" s="20" t="n"/>
    </row>
    <row r="12">
      <c r="A12" s="17" t="n">
        <v>7</v>
      </c>
      <c r="B12" s="18" t="n"/>
      <c r="C12" s="18" t="n"/>
      <c r="D12" s="18" t="n"/>
      <c r="E12" s="18" t="n"/>
      <c r="F12" s="20" t="n"/>
      <c r="G12" s="20" t="n"/>
    </row>
    <row r="13">
      <c r="A13" s="17" t="n">
        <v>8</v>
      </c>
      <c r="B13" s="18" t="n"/>
      <c r="C13" s="18" t="n"/>
      <c r="D13" s="18" t="n"/>
      <c r="E13" s="18" t="n"/>
      <c r="F13" s="20" t="n"/>
      <c r="G13" s="20" t="n"/>
    </row>
    <row r="14">
      <c r="A14" s="17" t="n">
        <v>9</v>
      </c>
      <c r="B14" s="18" t="n"/>
      <c r="C14" s="18" t="n"/>
      <c r="D14" s="18" t="n"/>
      <c r="E14" s="18" t="n"/>
      <c r="F14" s="20" t="n"/>
      <c r="G14" s="20" t="n"/>
    </row>
    <row r="15">
      <c r="A15" s="17" t="n">
        <v>10</v>
      </c>
      <c r="B15" s="18" t="n"/>
      <c r="C15" s="18" t="n"/>
      <c r="D15" s="18" t="n"/>
      <c r="E15" s="18" t="n"/>
      <c r="F15" s="20" t="n"/>
      <c r="G15" s="20" t="n"/>
    </row>
    <row r="16">
      <c r="A16" s="17" t="n">
        <v>11</v>
      </c>
      <c r="B16" s="18" t="n"/>
      <c r="C16" s="18" t="n"/>
      <c r="D16" s="18" t="n"/>
      <c r="E16" s="18" t="n"/>
      <c r="F16" s="20" t="n"/>
      <c r="G16" s="20" t="n"/>
    </row>
    <row r="17">
      <c r="A17" s="17" t="n">
        <v>12</v>
      </c>
      <c r="B17" s="18" t="n"/>
      <c r="C17" s="18" t="n"/>
      <c r="D17" s="18" t="n"/>
      <c r="E17" s="18" t="n"/>
      <c r="F17" s="20" t="n"/>
      <c r="G17" s="20" t="n"/>
    </row>
    <row r="18">
      <c r="A18" s="21" t="inlineStr">
        <is>
          <t>TOTAL DE RENDIMENTOS E RETENÇÃO:</t>
        </is>
      </c>
      <c r="B18" s="22" t="n"/>
      <c r="C18" s="22" t="n"/>
      <c r="D18" s="22" t="n"/>
      <c r="E18" s="22" t="n"/>
      <c r="F18" s="23">
        <f>SUM(F6:F17)</f>
        <v/>
      </c>
      <c r="G18" s="23">
        <f>SUM(G6:G17)</f>
        <v/>
      </c>
    </row>
  </sheetData>
  <mergeCells count="2">
    <mergeCell ref="A18:E18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35" customWidth="1" min="4" max="4"/>
    <col width="24" customWidth="1" min="5" max="5"/>
    <col width="20" customWidth="1" min="6" max="6"/>
    <col width="26" customWidth="1" min="7" max="7"/>
  </cols>
  <sheetData>
    <row r="1">
      <c r="A1" s="1" t="inlineStr">
        <is>
          <t>LIVRO DE DESPESAS DEDUTÍVEIS (SAÚDE, EDUCAÇÃO, PREVIDÊNCIA)</t>
        </is>
      </c>
    </row>
    <row r="2"/>
    <row r="5">
      <c r="A5" s="16" t="inlineStr">
        <is>
          <t>Item</t>
        </is>
      </c>
      <c r="B5" s="16" t="inlineStr">
        <is>
          <t>Data Despesa</t>
        </is>
      </c>
      <c r="C5" s="16" t="inlineStr">
        <is>
          <t>Categoria</t>
        </is>
      </c>
      <c r="D5" s="16" t="inlineStr">
        <is>
          <t>Prestador / Estabelecimento</t>
        </is>
      </c>
      <c r="E5" s="16" t="inlineStr">
        <is>
          <t>CNPJ / CPF do Prestador</t>
        </is>
      </c>
      <c r="F5" s="16" t="inlineStr">
        <is>
          <t>Valor Pago (R$)</t>
        </is>
      </c>
      <c r="G5" s="16" t="inlineStr">
        <is>
          <t>Comprovante / Recibo</t>
        </is>
      </c>
    </row>
    <row r="6">
      <c r="A6" s="17" t="n">
        <v>1</v>
      </c>
      <c r="B6" s="24" t="inlineStr">
        <is>
          <t>2026-02-15</t>
        </is>
      </c>
      <c r="C6" s="17" t="inlineStr">
        <is>
          <t>Saúde</t>
        </is>
      </c>
      <c r="D6" s="18" t="inlineStr">
        <is>
          <t>Dr. Roberto Martins (Médico)</t>
        </is>
      </c>
      <c r="E6" s="17" t="inlineStr">
        <is>
          <t>123.456.789-00</t>
        </is>
      </c>
      <c r="F6" s="19" t="n">
        <v>650</v>
      </c>
      <c r="G6" s="18" t="inlineStr">
        <is>
          <t>Recibo nº 2026-01</t>
        </is>
      </c>
    </row>
    <row r="7">
      <c r="A7" s="17" t="n">
        <v>2</v>
      </c>
      <c r="B7" s="24" t="inlineStr">
        <is>
          <t>2026-03-20</t>
        </is>
      </c>
      <c r="C7" s="17" t="inlineStr">
        <is>
          <t>Saúde</t>
        </is>
      </c>
      <c r="D7" s="18" t="inlineStr">
        <is>
          <t>Clínica Radiológica Central</t>
        </is>
      </c>
      <c r="E7" s="17" t="inlineStr">
        <is>
          <t>11.222.333/0001-44</t>
        </is>
      </c>
      <c r="F7" s="19" t="n">
        <v>420</v>
      </c>
      <c r="G7" s="18" t="inlineStr">
        <is>
          <t>NF-e 8812</t>
        </is>
      </c>
    </row>
    <row r="8">
      <c r="A8" s="17" t="n">
        <v>3</v>
      </c>
      <c r="B8" s="24" t="inlineStr">
        <is>
          <t>2026-04-10</t>
        </is>
      </c>
      <c r="C8" s="17" t="inlineStr">
        <is>
          <t>Educação</t>
        </is>
      </c>
      <c r="D8" s="18" t="inlineStr">
        <is>
          <t>Faculdade Estácio</t>
        </is>
      </c>
      <c r="E8" s="17" t="inlineStr">
        <is>
          <t>34.009.876/0001-20</t>
        </is>
      </c>
      <c r="F8" s="19" t="n">
        <v>3890</v>
      </c>
      <c r="G8" s="18" t="inlineStr">
        <is>
          <t>Declaração de Quitação</t>
        </is>
      </c>
    </row>
    <row r="9">
      <c r="A9" s="17" t="n">
        <v>4</v>
      </c>
      <c r="B9" s="24" t="inlineStr">
        <is>
          <t>2026-11-28</t>
        </is>
      </c>
      <c r="C9" s="17" t="inlineStr">
        <is>
          <t>Previdência (PGBL)</t>
        </is>
      </c>
      <c r="D9" s="18" t="inlineStr">
        <is>
          <t>Icatu Seguros SA</t>
        </is>
      </c>
      <c r="E9" s="17" t="inlineStr">
        <is>
          <t>42.123.456/0001-88</t>
        </is>
      </c>
      <c r="F9" s="19" t="n">
        <v>5000</v>
      </c>
      <c r="G9" s="18" t="inlineStr">
        <is>
          <t>Informe Anual Previdência</t>
        </is>
      </c>
    </row>
    <row r="10">
      <c r="A10" s="17" t="n">
        <v>5</v>
      </c>
      <c r="B10" s="18" t="n"/>
      <c r="C10" s="18" t="n"/>
      <c r="D10" s="18" t="n"/>
      <c r="E10" s="18" t="n"/>
      <c r="F10" s="20" t="n"/>
      <c r="G10" s="18" t="n"/>
    </row>
    <row r="11">
      <c r="A11" s="17" t="n">
        <v>6</v>
      </c>
      <c r="B11" s="18" t="n"/>
      <c r="C11" s="18" t="n"/>
      <c r="D11" s="18" t="n"/>
      <c r="E11" s="18" t="n"/>
      <c r="F11" s="20" t="n"/>
      <c r="G11" s="18" t="n"/>
    </row>
    <row r="12">
      <c r="A12" s="17" t="n">
        <v>7</v>
      </c>
      <c r="B12" s="18" t="n"/>
      <c r="C12" s="18" t="n"/>
      <c r="D12" s="18" t="n"/>
      <c r="E12" s="18" t="n"/>
      <c r="F12" s="20" t="n"/>
      <c r="G12" s="18" t="n"/>
    </row>
    <row r="13">
      <c r="A13" s="17" t="n">
        <v>8</v>
      </c>
      <c r="B13" s="18" t="n"/>
      <c r="C13" s="18" t="n"/>
      <c r="D13" s="18" t="n"/>
      <c r="E13" s="18" t="n"/>
      <c r="F13" s="20" t="n"/>
      <c r="G13" s="18" t="n"/>
    </row>
    <row r="14">
      <c r="A14" s="17" t="n">
        <v>9</v>
      </c>
      <c r="B14" s="18" t="n"/>
      <c r="C14" s="18" t="n"/>
      <c r="D14" s="18" t="n"/>
      <c r="E14" s="18" t="n"/>
      <c r="F14" s="20" t="n"/>
      <c r="G14" s="18" t="n"/>
    </row>
    <row r="15">
      <c r="A15" s="17" t="n">
        <v>10</v>
      </c>
      <c r="B15" s="18" t="n"/>
      <c r="C15" s="18" t="n"/>
      <c r="D15" s="18" t="n"/>
      <c r="E15" s="18" t="n"/>
      <c r="F15" s="20" t="n"/>
      <c r="G15" s="18" t="n"/>
    </row>
    <row r="16">
      <c r="A16" s="17" t="n">
        <v>11</v>
      </c>
      <c r="B16" s="18" t="n"/>
      <c r="C16" s="18" t="n"/>
      <c r="D16" s="18" t="n"/>
      <c r="E16" s="18" t="n"/>
      <c r="F16" s="20" t="n"/>
      <c r="G16" s="18" t="n"/>
    </row>
    <row r="17">
      <c r="A17" s="17" t="n">
        <v>12</v>
      </c>
      <c r="B17" s="18" t="n"/>
      <c r="C17" s="18" t="n"/>
      <c r="D17" s="18" t="n"/>
      <c r="E17" s="18" t="n"/>
      <c r="F17" s="20" t="n"/>
      <c r="G17" s="18" t="n"/>
    </row>
    <row r="18">
      <c r="A18" s="21" t="inlineStr">
        <is>
          <t>TOTAL DE DESPESAS DEDUTÍVEIS:</t>
        </is>
      </c>
      <c r="B18" s="22" t="n"/>
      <c r="C18" s="22" t="n"/>
      <c r="D18" s="22" t="n"/>
      <c r="E18" s="22" t="n"/>
      <c r="F18" s="23">
        <f>SUM(F6:F17)</f>
        <v/>
      </c>
      <c r="G18" s="25" t="inlineStr"/>
    </row>
  </sheetData>
  <mergeCells count="2">
    <mergeCell ref="A18:E18"/>
    <mergeCell ref="A1:G2"/>
  </mergeCells>
  <dataValidations count="1">
    <dataValidation sqref="C6:C17" showDropDown="0" showInputMessage="0" showErrorMessage="0" allowBlank="1" type="list">
      <formula1>"Saúde,Educação,Previdência (PGBL),Pensão Alimentícia,Livro-Caixa"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5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1" t="inlineStr">
        <is>
          <t>DECLARAÇÃO DE BENS E DIREITOS (PATRIMÓNIO)</t>
        </is>
      </c>
    </row>
    <row r="2"/>
    <row r="5">
      <c r="A5" s="16" t="inlineStr">
        <is>
          <t>Item</t>
        </is>
      </c>
      <c r="B5" s="16" t="inlineStr">
        <is>
          <t>Código Receita</t>
        </is>
      </c>
      <c r="C5" s="16" t="inlineStr">
        <is>
          <t>Discriminação / Descrição Detalhada</t>
        </is>
      </c>
      <c r="D5" s="16" t="inlineStr">
        <is>
          <t>Localização / Instituição</t>
        </is>
      </c>
      <c r="E5" s="16" t="inlineStr">
        <is>
          <t>Situação Ano Anterior (R$)</t>
        </is>
      </c>
      <c r="F5" s="16" t="inlineStr">
        <is>
          <t>Situação Ano Atual (R$)</t>
        </is>
      </c>
      <c r="G5" s="16" t="inlineStr">
        <is>
          <t>Variação (R$)</t>
        </is>
      </c>
    </row>
    <row r="6">
      <c r="A6" s="17" t="n">
        <v>1</v>
      </c>
      <c r="B6" s="18" t="inlineStr">
        <is>
          <t>11 - Apartamento</t>
        </is>
      </c>
      <c r="C6" s="18" t="inlineStr">
        <is>
          <t>Apartamento residencial com 65m², financiado na CEF</t>
        </is>
      </c>
      <c r="D6" s="18" t="inlineStr">
        <is>
          <t>Salvador/BA</t>
        </is>
      </c>
      <c r="E6" s="19" t="n">
        <v>185000</v>
      </c>
      <c r="F6" s="19" t="n">
        <v>198000</v>
      </c>
      <c r="G6" s="19">
        <f>F6-E6</f>
        <v/>
      </c>
    </row>
    <row r="7">
      <c r="A7" s="17" t="n">
        <v>2</v>
      </c>
      <c r="B7" s="18" t="inlineStr">
        <is>
          <t>21 - Veículo</t>
        </is>
      </c>
      <c r="C7" s="18" t="inlineStr">
        <is>
          <t>Veículo automotor marca GM Tracker ano 2024</t>
        </is>
      </c>
      <c r="D7" s="18" t="inlineStr">
        <is>
          <t>Placa XYZ-9988</t>
        </is>
      </c>
      <c r="E7" s="19" t="n">
        <v>85000</v>
      </c>
      <c r="F7" s="19" t="n">
        <v>85000</v>
      </c>
      <c r="G7" s="19">
        <f>F7-E7</f>
        <v/>
      </c>
    </row>
    <row r="8">
      <c r="A8" s="17" t="n">
        <v>3</v>
      </c>
      <c r="B8" s="18" t="inlineStr">
        <is>
          <t>73 - Fundos Imobiliários</t>
        </is>
      </c>
      <c r="C8" s="18" t="inlineStr">
        <is>
          <t>1500 cotas de FIIs diversos custodiados na corretora NuInvest</t>
        </is>
      </c>
      <c r="D8" s="18" t="inlineStr">
        <is>
          <t>XP / NuInvest</t>
        </is>
      </c>
      <c r="E8" s="19" t="n">
        <v>14500</v>
      </c>
      <c r="F8" s="19" t="n">
        <v>22800</v>
      </c>
      <c r="G8" s="19">
        <f>F8-E8</f>
        <v/>
      </c>
    </row>
    <row r="9">
      <c r="A9" s="17" t="n">
        <v>4</v>
      </c>
      <c r="B9" s="18" t="n"/>
      <c r="C9" s="18" t="n"/>
      <c r="D9" s="18" t="n"/>
      <c r="E9" s="20" t="n"/>
      <c r="F9" s="20" t="n"/>
      <c r="G9" s="20">
        <f>F9-E9</f>
        <v/>
      </c>
    </row>
    <row r="10">
      <c r="A10" s="17" t="n">
        <v>5</v>
      </c>
      <c r="B10" s="18" t="n"/>
      <c r="C10" s="18" t="n"/>
      <c r="D10" s="18" t="n"/>
      <c r="E10" s="20" t="n"/>
      <c r="F10" s="20" t="n"/>
      <c r="G10" s="20">
        <f>F10-E10</f>
        <v/>
      </c>
    </row>
    <row r="11">
      <c r="A11" s="17" t="n">
        <v>6</v>
      </c>
      <c r="B11" s="18" t="n"/>
      <c r="C11" s="18" t="n"/>
      <c r="D11" s="18" t="n"/>
      <c r="E11" s="20" t="n"/>
      <c r="F11" s="20" t="n"/>
      <c r="G11" s="20">
        <f>F11-E11</f>
        <v/>
      </c>
    </row>
    <row r="12">
      <c r="A12" s="17" t="n">
        <v>7</v>
      </c>
      <c r="B12" s="18" t="n"/>
      <c r="C12" s="18" t="n"/>
      <c r="D12" s="18" t="n"/>
      <c r="E12" s="20" t="n"/>
      <c r="F12" s="20" t="n"/>
      <c r="G12" s="20">
        <f>F12-E12</f>
        <v/>
      </c>
    </row>
    <row r="13">
      <c r="A13" s="17" t="n">
        <v>8</v>
      </c>
      <c r="B13" s="18" t="n"/>
      <c r="C13" s="18" t="n"/>
      <c r="D13" s="18" t="n"/>
      <c r="E13" s="20" t="n"/>
      <c r="F13" s="20" t="n"/>
      <c r="G13" s="20">
        <f>F13-E13</f>
        <v/>
      </c>
    </row>
    <row r="14">
      <c r="A14" s="17" t="n">
        <v>9</v>
      </c>
      <c r="B14" s="18" t="n"/>
      <c r="C14" s="18" t="n"/>
      <c r="D14" s="18" t="n"/>
      <c r="E14" s="20" t="n"/>
      <c r="F14" s="20" t="n"/>
      <c r="G14" s="20">
        <f>F14-E14</f>
        <v/>
      </c>
    </row>
    <row r="15">
      <c r="A15" s="17" t="n">
        <v>10</v>
      </c>
      <c r="B15" s="18" t="n"/>
      <c r="C15" s="18" t="n"/>
      <c r="D15" s="18" t="n"/>
      <c r="E15" s="20" t="n"/>
      <c r="F15" s="20" t="n"/>
      <c r="G15" s="20">
        <f>F15-E15</f>
        <v/>
      </c>
    </row>
    <row r="16">
      <c r="A16" s="17" t="n">
        <v>11</v>
      </c>
      <c r="B16" s="18" t="n"/>
      <c r="C16" s="18" t="n"/>
      <c r="D16" s="18" t="n"/>
      <c r="E16" s="20" t="n"/>
      <c r="F16" s="20" t="n"/>
      <c r="G16" s="20">
        <f>F16-E16</f>
        <v/>
      </c>
    </row>
    <row r="17">
      <c r="A17" s="17" t="n">
        <v>12</v>
      </c>
      <c r="B17" s="18" t="n"/>
      <c r="C17" s="18" t="n"/>
      <c r="D17" s="18" t="n"/>
      <c r="E17" s="20" t="n"/>
      <c r="F17" s="20" t="n"/>
      <c r="G17" s="20">
        <f>F17-E17</f>
        <v/>
      </c>
    </row>
    <row r="18">
      <c r="A18" s="21" t="inlineStr">
        <is>
          <t>TOTAL DE BENS E DIREITOS:</t>
        </is>
      </c>
      <c r="B18" s="22" t="n"/>
      <c r="C18" s="22" t="n"/>
      <c r="D18" s="22" t="n"/>
      <c r="E18" s="23">
        <f>SUM(E6:E17)</f>
        <v/>
      </c>
      <c r="F18" s="23">
        <f>SUM(F6:F17)</f>
        <v/>
      </c>
      <c r="G18" s="23">
        <f>F18-E18</f>
        <v/>
      </c>
    </row>
  </sheetData>
  <mergeCells count="2">
    <mergeCell ref="A18:D18"/>
    <mergeCell ref="A1:G2"/>
  </mergeCells>
  <dataValidations count="1">
    <dataValidation sqref="B6:B17" showDropDown="0" showInputMessage="0" showErrorMessage="0" allowBlank="1" type="list">
      <formula1>"01 - Prédio residencial,11 - Apartamento,12 - Casa,21 - Veículo,31 - Embarcação,61 - Depósito bancário,73 - Fundos Imobiliários,74 - Ações,99 - Outros"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2026-09-18T13:52:10Z</dcterms:created>
  <dcterms:modified xmlns:dcterms="http://purl.org/dc/terms/" xmlns:xsi="http://www.w3.org/2001/XMLSchema-instance" xsi:type="dcterms:W3CDTF">2026-09-18T13:52:10Z</dcterms:modified>
</cp:coreProperties>
</file>